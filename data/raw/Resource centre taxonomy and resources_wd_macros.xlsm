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namedSheetViews/namedSheetView1.xml" ContentType="application/vnd.ms-excel.namedsheetviews+xml"/>
  <Override PartName="/xl/tables/table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25" codeName="{E5D1E7B1-6628-F0F0-D09B-76B25B5F3CD3}"/>
  <workbookPr codeName="ThisWorkbook"/>
  <mc:AlternateContent xmlns:mc="http://schemas.openxmlformats.org/markup-compatibility/2006">
    <mc:Choice Requires="x15">
      <x15ac:absPath xmlns:x15ac="http://schemas.microsoft.com/office/spreadsheetml/2010/11/ac" url="/Users/baselabubaker/Desktop/"/>
    </mc:Choice>
  </mc:AlternateContent>
  <xr:revisionPtr revIDLastSave="0" documentId="13_ncr:1_{646A785F-0AC9-1F45-8C08-9FB7088B5DFF}" xr6:coauthVersionLast="47" xr6:coauthVersionMax="47" xr10:uidLastSave="{00000000-0000-0000-0000-000000000000}"/>
  <bookViews>
    <workbookView xWindow="0" yWindow="0" windowWidth="28800" windowHeight="18000" tabRatio="814" activeTab="2" xr2:uid="{58CDAB4D-890A-4AD0-B0BE-6E850B3B57E4}"/>
  </bookViews>
  <sheets>
    <sheet name="0_Overview" sheetId="8" r:id="rId1"/>
    <sheet name="1_Inclusion &amp; Exclusion" sheetId="7" r:id="rId2"/>
    <sheet name="2_Taxonomy Structure" sheetId="1" r:id="rId3"/>
    <sheet name="3a_Resources_examples" sheetId="10" r:id="rId4"/>
    <sheet name="3b_Summaries_copilot" sheetId="11" r:id="rId5"/>
    <sheet name="4_Taxonomy Options" sheetId="6" r:id="rId6"/>
    <sheet name="5_Resources_full_data" sheetId="2" r:id="rId7"/>
    <sheet name="6_Statistics" sheetId="9" r:id="rId8"/>
    <sheet name="7_Document_Maintainence" sheetId="12" r:id="rId9"/>
    <sheet name="8_References" sheetId="4" r:id="rId10"/>
    <sheet name="Sheet1" sheetId="13" r:id="rId11"/>
  </sheets>
  <definedNames>
    <definedName name="IC_List">'4_Taxonomy Options'!$G$4:$G$26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04" i="2" l="1"/>
  <c r="J105" i="2"/>
  <c r="J106" i="2"/>
  <c r="J103" i="2"/>
  <c r="I8" i="10"/>
  <c r="J3" i="10"/>
  <c r="J27" i="2"/>
  <c r="J77" i="2"/>
  <c r="I76" i="2"/>
  <c r="J76" i="2"/>
  <c r="J75" i="2"/>
  <c r="I70" i="2"/>
  <c r="J70" i="2"/>
  <c r="I61" i="2"/>
  <c r="J61" i="2"/>
  <c r="J58" i="2"/>
  <c r="J57" i="2"/>
  <c r="I6" i="2"/>
  <c r="I8" i="2"/>
  <c r="I12" i="2"/>
  <c r="I14" i="2"/>
  <c r="I16" i="2"/>
  <c r="H27" i="2"/>
  <c r="I32" i="2"/>
  <c r="I38" i="2"/>
  <c r="H50" i="2"/>
  <c r="I50" i="2"/>
  <c r="H51" i="2"/>
  <c r="I51" i="2"/>
  <c r="I52" i="2"/>
  <c r="K53" i="2"/>
</calcChain>
</file>

<file path=xl/sharedStrings.xml><?xml version="1.0" encoding="utf-8"?>
<sst xmlns="http://schemas.openxmlformats.org/spreadsheetml/2006/main" count="2771" uniqueCount="880">
  <si>
    <t>Taxonomy and Resources</t>
  </si>
  <si>
    <t>Version 1.0</t>
  </si>
  <si>
    <r>
      <t xml:space="preserve">This spreadsheet contains the active working document for the resource centre. The tabs in </t>
    </r>
    <r>
      <rPr>
        <b/>
        <sz val="14"/>
        <color theme="8"/>
        <rFont val="Aptos Narrow"/>
        <family val="2"/>
        <scheme val="minor"/>
      </rPr>
      <t>purple</t>
    </r>
    <r>
      <rPr>
        <b/>
        <sz val="14"/>
        <color theme="1"/>
        <rFont val="Aptos Narrow"/>
        <family val="2"/>
        <scheme val="minor"/>
      </rPr>
      <t xml:space="preserve"> (4_taxonomy_Options and 7_Resources_full_data) are used to populate the PowerApps platform.</t>
    </r>
  </si>
  <si>
    <t>Tab</t>
  </si>
  <si>
    <t>Last Modified</t>
  </si>
  <si>
    <t xml:space="preserve">Description </t>
  </si>
  <si>
    <t>1_Inclusion &amp; Exclusion</t>
  </si>
  <si>
    <t>This tab contains the inclusion and exclusion criteria to determine whether a resource is included in the resource centre.</t>
  </si>
  <si>
    <t>2_Taxonomy Structure</t>
  </si>
  <si>
    <t>This tab contains the taxonomy for the resource centre.</t>
  </si>
  <si>
    <t>3a_Resources_examples</t>
  </si>
  <si>
    <t>This tab contains a selection of the resources representative of the wider data collected. Used to aid discussion about the resource centre.</t>
  </si>
  <si>
    <t>3b_Summaries_copilot</t>
  </si>
  <si>
    <t xml:space="preserve">This tab contains the AI generated summaries for the resources in 3a_Resources_examples. These summaries were generated using Microsoft co-pilot. </t>
  </si>
  <si>
    <t>4_Taxonomy Options</t>
  </si>
  <si>
    <t xml:space="preserve">This tab contains the concepts tabulated. This is iteratively updated as new keywords are identified. This tab is used to populate the selection options for the PowerApps platform. </t>
  </si>
  <si>
    <t>5_Resources_full_data</t>
  </si>
  <si>
    <t>This tab contains a database of resources for the resource centre, utilising the taxonomy. This tab is used to populate PowerApps platform.</t>
  </si>
  <si>
    <t>6_Statistics</t>
  </si>
  <si>
    <t>This tab contains summary statistics of the resources collected and tagged.</t>
  </si>
  <si>
    <t xml:space="preserve">7_Document_Maintainance </t>
  </si>
  <si>
    <t>This tab contains information on how to maintain this document.</t>
  </si>
  <si>
    <t>8_References</t>
  </si>
  <si>
    <t>This tab contains references and example resources, and knowledge bases used in the development of this taxonomy.</t>
  </si>
  <si>
    <r>
      <rPr>
        <b/>
        <sz val="16"/>
        <color theme="1"/>
        <rFont val="Aptos Narrow"/>
        <family val="2"/>
        <scheme val="minor"/>
      </rPr>
      <t>Updates</t>
    </r>
    <r>
      <rPr>
        <sz val="11"/>
        <color theme="1"/>
        <rFont val="Aptos Narrow"/>
        <family val="2"/>
        <scheme val="minor"/>
      </rPr>
      <t xml:space="preserve"> </t>
    </r>
  </si>
  <si>
    <t>Version</t>
  </si>
  <si>
    <t>Date</t>
  </si>
  <si>
    <t>Update</t>
  </si>
  <si>
    <t xml:space="preserve">Person </t>
  </si>
  <si>
    <t>Version 0.1</t>
  </si>
  <si>
    <t>Taxonomy Updated: Discipline category removed.</t>
  </si>
  <si>
    <t xml:space="preserve">Anna Linton </t>
  </si>
  <si>
    <t>Taxonomy Updated: Subject of Resource and Type of Resource replaces with "Resource Subject (Modified)", "Resource Type (Modified)", and "Resource Format (Modified)". 
EDI intervention readiness made relevant to interventions only. Excludes resources such as policies</t>
  </si>
  <si>
    <t>Taxonomy Updated: Evaluation Performed reintroduce. A binary category whether the intervention/resource was evaluated. Category add: "Link to Evaluation": If yes, and the link to the evaluation added where applicable (or reference in document).</t>
  </si>
  <si>
    <t>Inclusion and Exclusion Criteria for the Resources</t>
  </si>
  <si>
    <r>
      <t>Inclusion</t>
    </r>
    <r>
      <rPr>
        <b/>
        <sz val="12"/>
        <color rgb="FF000000"/>
        <rFont val="Calibri"/>
        <family val="2"/>
      </rPr>
      <t xml:space="preserve"> </t>
    </r>
  </si>
  <si>
    <r>
      <t>Exclusion</t>
    </r>
    <r>
      <rPr>
        <b/>
        <sz val="12"/>
        <color rgb="FF000000"/>
        <rFont val="Calibri"/>
        <family val="2"/>
      </rPr>
      <t xml:space="preserve"> </t>
    </r>
  </si>
  <si>
    <t>Is accessible through valid URL.</t>
  </si>
  <si>
    <t>Is inaccessible due to paywall or technical barrier.</t>
  </si>
  <si>
    <t>Focuses on EDI practices or addresses at least one individual characteristic.</t>
  </si>
  <si>
    <t>Is not available in English.</t>
  </si>
  <si>
    <t xml:space="preserve">Pertains to underrepresented, underserved or minoritised groups. </t>
  </si>
  <si>
    <t xml:space="preserve">Outdated information (e.g. no longer relevant due to legislation changes). </t>
  </si>
  <si>
    <t>Is from a credible source and a recognised organisation (or endorsed by a recognised organisation), including: Research Council (such as EPSRC, UKRI), Learned Society, Professional Body, Government, Associations/Research Society, EPMS EDI Projects, Academic Institution, Research and Innovation Project, STEM Education, and EDI Practice</t>
  </si>
  <si>
    <t xml:space="preserve">Not from a credible source (e.g. personal blogs). </t>
  </si>
  <si>
    <t>Only enables raising awareness but does not offer actionable points (e.g. an article that describes white privillege but does not give any advice what to do about addressing it).</t>
  </si>
  <si>
    <t xml:space="preserve"> </t>
  </si>
  <si>
    <t xml:space="preserve">Category </t>
  </si>
  <si>
    <t xml:space="preserve">Sub category </t>
  </si>
  <si>
    <t>Description</t>
  </si>
  <si>
    <t>Options</t>
  </si>
  <si>
    <t>Type of Input</t>
  </si>
  <si>
    <t>References</t>
  </si>
  <si>
    <t>To discuss with EPSRC</t>
  </si>
  <si>
    <t>Generic</t>
  </si>
  <si>
    <t>Title</t>
  </si>
  <si>
    <t>The name of the resource.</t>
  </si>
  <si>
    <t xml:space="preserve">Text </t>
  </si>
  <si>
    <t>Author</t>
  </si>
  <si>
    <t>The creator(s) of the resource.</t>
  </si>
  <si>
    <t xml:space="preserve">Institution </t>
  </si>
  <si>
    <t>The affiliated organisation</t>
  </si>
  <si>
    <t>Date Created</t>
  </si>
  <si>
    <t>The publication or creation date of the resource. (If a date is not provided the date of access is used).</t>
  </si>
  <si>
    <t>Link</t>
  </si>
  <si>
    <t>A URL or reference to access the resource.</t>
  </si>
  <si>
    <t>URL</t>
  </si>
  <si>
    <t xml:space="preserve">LinkIsAccesible </t>
  </si>
  <si>
    <t>Binary. Whether the Link is available.</t>
  </si>
  <si>
    <t>Available/Unavailable</t>
  </si>
  <si>
    <t>Single select drop down</t>
  </si>
  <si>
    <t>Included/Excluded</t>
  </si>
  <si>
    <t>Whether the resource is included.</t>
  </si>
  <si>
    <t xml:space="preserve">Reason for Exclusion </t>
  </si>
  <si>
    <t>Reason that the resource was excluded from the list of resources</t>
  </si>
  <si>
    <t>Date Accessed</t>
  </si>
  <si>
    <t>The date the resource was accessed and added to the spreadsheet</t>
  </si>
  <si>
    <t>Accountable Person</t>
  </si>
  <si>
    <t>The person who added the resource to the resource centre/this spreadsheet.</t>
  </si>
  <si>
    <t xml:space="preserve">Summary </t>
  </si>
  <si>
    <t>A short description summarising the resource providing a concise, AI generated overview of the resource's contents. It covers the main points, purpose and scope of the resource. This will be added at a later date.</t>
  </si>
  <si>
    <t>"What is the resource about?", "Who is it for?", "Key takeaways"</t>
  </si>
  <si>
    <t>Resource Subject</t>
  </si>
  <si>
    <t xml:space="preserve">What the resource is about.
The subject matter of the resource, i.e. the EDI intervention represented in the resource. This follows the UKRI EDI review
https://www.ukri.org/wp-content/uploads/2020/10/UKRI-020920-EDI-EvidenceReviewUK.pdf (chapter 1 and chapter 3)
</t>
  </si>
  <si>
    <r>
      <rPr>
        <u/>
        <sz val="11"/>
        <color theme="1"/>
        <rFont val="Aptos Narrow"/>
        <family val="2"/>
        <scheme val="minor"/>
      </rPr>
      <t xml:space="preserve">Programme  or Initiative </t>
    </r>
    <r>
      <rPr>
        <sz val="11"/>
        <color theme="1"/>
        <rFont val="Aptos Narrow"/>
        <family val="2"/>
        <scheme val="minor"/>
      </rPr>
      <t xml:space="preserve">- structured initiatives  or series of activities,
</t>
    </r>
    <r>
      <rPr>
        <u/>
        <sz val="11"/>
        <color theme="1"/>
        <rFont val="Aptos Narrow"/>
        <family val="2"/>
        <scheme val="minor"/>
      </rPr>
      <t>Training -</t>
    </r>
    <r>
      <rPr>
        <sz val="11"/>
        <color theme="1"/>
        <rFont val="Aptos Narrow"/>
        <family val="2"/>
        <scheme val="minor"/>
      </rPr>
      <t xml:space="preserve"> educational or training interventions</t>
    </r>
    <r>
      <rPr>
        <u/>
        <sz val="11"/>
        <color theme="1"/>
        <rFont val="Aptos Narrow"/>
        <family val="2"/>
        <scheme val="minor"/>
      </rPr>
      <t xml:space="preserve">
Grant &amp; Awards</t>
    </r>
    <r>
      <rPr>
        <sz val="11"/>
        <color theme="1"/>
        <rFont val="Aptos Narrow"/>
        <family val="2"/>
        <scheme val="minor"/>
      </rPr>
      <t xml:space="preserve">
</t>
    </r>
    <r>
      <rPr>
        <u/>
        <sz val="11"/>
        <color theme="1"/>
        <rFont val="Aptos Narrow"/>
        <family val="2"/>
        <scheme val="minor"/>
      </rPr>
      <t xml:space="preserve">Policy, strategy or processes </t>
    </r>
    <r>
      <rPr>
        <sz val="11"/>
        <color theme="1"/>
        <rFont val="Aptos Narrow"/>
        <family val="2"/>
        <scheme val="minor"/>
      </rPr>
      <t xml:space="preserve">-  Policies statement of principles or rules, Strategies outline goals and priorities and processes are practical steps (for example, on national funding, recruitment, family-friendly and career breaks),  
</t>
    </r>
    <r>
      <rPr>
        <u/>
        <sz val="11"/>
        <color theme="1"/>
        <rFont val="Aptos Narrow"/>
        <family val="2"/>
        <scheme val="minor"/>
      </rPr>
      <t>Recognition schemes</t>
    </r>
    <r>
      <rPr>
        <sz val="11"/>
        <color theme="1"/>
        <rFont val="Aptos Narrow"/>
        <family val="2"/>
        <scheme val="minor"/>
      </rPr>
      <t xml:space="preserve">- to acknowledge and incentivise employees for their contributions and achievements (for example, charters and awards), 
</t>
    </r>
    <r>
      <rPr>
        <u/>
        <sz val="11"/>
        <color theme="1"/>
        <rFont val="Aptos Narrow"/>
        <family val="2"/>
        <scheme val="minor"/>
      </rPr>
      <t>Employer engagement and outreach</t>
    </r>
    <r>
      <rPr>
        <sz val="11"/>
        <color theme="1"/>
        <rFont val="Aptos Narrow"/>
        <family val="2"/>
        <scheme val="minor"/>
      </rPr>
      <t xml:space="preserve"> - building relationships with businesses to promote careers, work-based learning and improve recruitment (for example, industry collaboration and widening access)</t>
    </r>
  </si>
  <si>
    <t xml:space="preserve">5
</t>
  </si>
  <si>
    <t>Resource Type</t>
  </si>
  <si>
    <t>Describe what the resource is.
These are outputs- taken from: https://www.ukri.org/wp-content/uploads/2023/04/EPSRC-130423-CollectionOutcomesOutputsEPSRCInclusionMattersPortfolioReport.pdf
expanded using CreativeWork types from schema.org</t>
  </si>
  <si>
    <t>Guidance Resources - Framework, toolkits and guides
Databases and List
Training &amp; Educational 
Academic Paper
Book Chapter
Report
Article
Presentation
Poster
Organised Event
Evidence Document
Policy Document
Social Media and Blog posts
Student/Staff Profiles
Legislation
Case Study and Testimonial
Informational Resource</t>
  </si>
  <si>
    <t>Resource Format</t>
  </si>
  <si>
    <t>Specifies the how the resource information is delivered or accessed, the medium used to present the resource.</t>
  </si>
  <si>
    <t>Webpage - online webpage
Podcast/audio - audio formatted discussion/interview
Video - recorded visual content
Webinar- live or recorded online seminar
Document - printed or downloadable files such as PDFs
Dataset</t>
  </si>
  <si>
    <t>EDI Resource Specific</t>
  </si>
  <si>
    <t>Scope</t>
  </si>
  <si>
    <t xml:space="preserve">The scope where the resource is applicable. </t>
  </si>
  <si>
    <t>CDT, School, Department, University, Project, Multiple Universities, National Initiative, Learned Society</t>
  </si>
  <si>
    <t>Individual Characteristics</t>
  </si>
  <si>
    <t>Attributes related to EDI addressed by the resource. (As defined by Nottingham EDI Cards)</t>
  </si>
  <si>
    <r>
      <t>Age, Disability, Trans Identity (Gender Reassignment), Race (including colour, nationality, ethnic or national origin), Sex, Sexual orientation, Marriage and civil partnership, Religion or belief</t>
    </r>
    <r>
      <rPr>
        <sz val="11"/>
        <color rgb="FF000000"/>
        <rFont val="Aptos Narrow"/>
        <family val="2"/>
      </rPr>
      <t>,  Pregnancy and maternity, Caring responsibilities, Neurodiversity, Temporary Impairment, Socio-economic background, Linguistic, Nationality, Career Stage, Education status, Job Roles, Physical characteristics, (Personal) Interests, Preferences, Abilities</t>
    </r>
  </si>
  <si>
    <t>Multiselect dropdown</t>
  </si>
  <si>
    <t>Sector</t>
  </si>
  <si>
    <t>The words in bold from the Equality Act 2010</t>
  </si>
  <si>
    <t>EPMS Discipline</t>
  </si>
  <si>
    <t>The sector in which the resource is relevant.</t>
  </si>
  <si>
    <t>Academia, Industry, Not-for-profit, Government, Other</t>
  </si>
  <si>
    <t>To discussed - stable disciplines or the research themes.</t>
  </si>
  <si>
    <t>Theme</t>
  </si>
  <si>
    <t>Career Pathway</t>
  </si>
  <si>
    <t>Keyword tags about the resources relating to the EDI Hub theme Career Pathways. Dynamically expanded list.</t>
  </si>
  <si>
    <t>Recruitment Strategies, Career Mobility, Leadership Development, Barrier Removal, Mentorship, Pipeline Development, Equitable Opportunities, Retention, Career Progression, Career Development, Visibility</t>
  </si>
  <si>
    <t xml:space="preserve">Research Funding Process </t>
  </si>
  <si>
    <t>Keyword tags about the resources relating to the EDI Hub theme Research Funding Process. Dynamically expanded list.</t>
  </si>
  <si>
    <t>Securing Funding, Application Support, Bias Mitigation, Structural Inequality, Eligibility Criteria, Resource Allocation, Transparent Processes/Information, Targeted Grants, Accessibility of Process, Post Award Support, Peer Review, Calls for Proposals, Application Processes,</t>
  </si>
  <si>
    <t>Organisational Culture</t>
  </si>
  <si>
    <t>Keyword tags about the resources relating to the EDI Hub theme Organisational Culture. Dynamically expanded list.</t>
  </si>
  <si>
    <t>Accessible Workspaces, Harassment Prevention, Microaggression Mitigation and Prevention, Work-Life Balance, Inclusive Leadership, Belonging Initiatives, Diverse Representation, Cultural Competency, Anti-discrimination measures, Employee Resource Groups, Systemic Change</t>
  </si>
  <si>
    <t>Evaluated in Resource</t>
  </si>
  <si>
    <t>Binary category of whether evaluation of the  resource (if an intervention) has been mentioned or presented in the resource.</t>
  </si>
  <si>
    <t>Yes or No</t>
  </si>
  <si>
    <t xml:space="preserve">Link to Evaluation </t>
  </si>
  <si>
    <t xml:space="preserve">URL to the evaluation of the resource if the resource has been evaluated. </t>
  </si>
  <si>
    <t>URL or "Within content" (If the evaluation is a part of the resource)</t>
  </si>
  <si>
    <t>Text, URL</t>
  </si>
  <si>
    <t>Evaluation Methods</t>
  </si>
  <si>
    <t>Method used to evaluate the intervention  (if applicable).</t>
  </si>
  <si>
    <t xml:space="preserve">Not an exhaustive list: Within-groups design, Between-groups design, Time series analysis, Cross-sectional analysis, Case study/studies, Qualitative analysis of interviews, Qualitative analysis of focus groups, Ethnography/observation, Conceptual/not based on empirical evidence, None	 </t>
  </si>
  <si>
    <t xml:space="preserve">Outcomes Measured </t>
  </si>
  <si>
    <t>Outcomes considered when the intervention has been evaluated (if applicable).</t>
  </si>
  <si>
    <t>4, 5</t>
  </si>
  <si>
    <t>EDI Intervention Readiness Level</t>
  </si>
  <si>
    <t>Description of the readiness of the intervention to be adopted in practice; followed flexible fund slides and UKRI TRL definition: https://www.ukri.org/councils/stfc/guidance-for-applicants/check-if-youre-eligible-for-funding/eligibility-of-technology-readiness-levels-trl/
Only applicable to interventions (programmes and initiatives)</t>
  </si>
  <si>
    <r>
      <rPr>
        <u/>
        <sz val="11"/>
        <color rgb="FF000000"/>
        <rFont val="Aptos Narrow"/>
        <family val="2"/>
        <scheme val="minor"/>
      </rPr>
      <t>Awareness and conceptualisation</t>
    </r>
    <r>
      <rPr>
        <sz val="11"/>
        <color rgb="FF000000"/>
        <rFont val="Aptos Narrow"/>
        <family val="2"/>
        <scheme val="minor"/>
      </rPr>
      <t xml:space="preserve"> - EDI needs identified; EDI intervention concept or application formulated;
</t>
    </r>
    <r>
      <rPr>
        <u/>
        <sz val="11"/>
        <color rgb="FF000000"/>
        <rFont val="Aptos Narrow"/>
        <family val="2"/>
        <scheme val="minor"/>
      </rPr>
      <t>Proof of concept</t>
    </r>
    <r>
      <rPr>
        <sz val="11"/>
        <color rgb="FF000000"/>
        <rFont val="Aptos Narrow"/>
        <family val="2"/>
        <scheme val="minor"/>
      </rPr>
      <t xml:space="preserve"> - EDI intervention designed in a specific context; initial evaluation conducted;
</t>
    </r>
    <r>
      <rPr>
        <u/>
        <sz val="11"/>
        <color rgb="FF000000"/>
        <rFont val="Aptos Narrow"/>
        <family val="2"/>
        <scheme val="minor"/>
      </rPr>
      <t>Pilot in single setting</t>
    </r>
    <r>
      <rPr>
        <sz val="11"/>
        <color rgb="FF000000"/>
        <rFont val="Aptos Narrow"/>
        <family val="2"/>
        <scheme val="minor"/>
      </rPr>
      <t xml:space="preserve"> - validation in a relevant environment, clear documentation what works and what does not;
</t>
    </r>
    <r>
      <rPr>
        <u/>
        <sz val="11"/>
        <color rgb="FF000000"/>
        <rFont val="Aptos Narrow"/>
        <family val="2"/>
        <scheme val="minor"/>
      </rPr>
      <t xml:space="preserve">Scaling </t>
    </r>
    <r>
      <rPr>
        <sz val="11"/>
        <color rgb="FF000000"/>
        <rFont val="Aptos Narrow"/>
        <family val="2"/>
        <scheme val="minor"/>
      </rPr>
      <t xml:space="preserve">- evaluated or applied at scale (i.e. Multiple settings), clear documentation what works and what does not;
</t>
    </r>
    <r>
      <rPr>
        <u/>
        <sz val="11"/>
        <color rgb="FF000000"/>
        <rFont val="Aptos Narrow"/>
        <family val="2"/>
        <scheme val="minor"/>
      </rPr>
      <t xml:space="preserve">Widespread adoption </t>
    </r>
    <r>
      <rPr>
        <sz val="11"/>
        <color rgb="FF000000"/>
        <rFont val="Aptos Narrow"/>
        <family val="2"/>
        <scheme val="minor"/>
      </rPr>
      <t>- being adopted in multiple settings</t>
    </r>
  </si>
  <si>
    <t>To be confirmed with WS3</t>
  </si>
  <si>
    <t>ID</t>
  </si>
  <si>
    <t>Subject of Resource</t>
  </si>
  <si>
    <t xml:space="preserve">Type of Resource </t>
  </si>
  <si>
    <t>EPSRC Discipline</t>
  </si>
  <si>
    <t>Inclusive language: words to use and avoid when writing about disability</t>
  </si>
  <si>
    <t>Disability Unit, GOV.UK</t>
  </si>
  <si>
    <t>https://www.gov.uk/government/publications/inclusive-communication/inclusive-language-words-to-use-and-avoid-when-writing-about-disability</t>
  </si>
  <si>
    <t>Available</t>
  </si>
  <si>
    <t xml:space="preserve">Included </t>
  </si>
  <si>
    <t>NA</t>
  </si>
  <si>
    <t>Anna Linton</t>
  </si>
  <si>
    <t>Framework</t>
  </si>
  <si>
    <t>Webpage</t>
  </si>
  <si>
    <t>Government</t>
  </si>
  <si>
    <t>University/Organisation</t>
  </si>
  <si>
    <t>Any</t>
  </si>
  <si>
    <t>Disability</t>
  </si>
  <si>
    <t xml:space="preserve">Inclusive language </t>
  </si>
  <si>
    <t>Pilot in single setting</t>
  </si>
  <si>
    <t>Tech Talent Charter Toolkit</t>
  </si>
  <si>
    <t>Tech Talent Charter</t>
  </si>
  <si>
    <t>https://www.techtalentcharter.co.uk/</t>
  </si>
  <si>
    <t>Toolkit</t>
  </si>
  <si>
    <t>Not-for-profit</t>
  </si>
  <si>
    <t>Other</t>
  </si>
  <si>
    <t>Information and Communication Technologies (ICT)</t>
  </si>
  <si>
    <t xml:space="preserve">Gender, Ethnicity, Sexual Orientation, Trans Identity, Disability, Pregnancy and maternity, Neurodiversity, EDI - not specified </t>
  </si>
  <si>
    <t xml:space="preserve">Recruitment Strategies, Career Progression, Retention, Attrition </t>
  </si>
  <si>
    <t>Inclusive Leadership,  Cultural Competency</t>
  </si>
  <si>
    <t>Reporting and Monitoring</t>
  </si>
  <si>
    <t>Diversity statistics</t>
  </si>
  <si>
    <t>Equality, Diversity and Inclusion strategies in STEM - briefing</t>
  </si>
  <si>
    <t>All-Party Parliamentary Group on Diversity and Inclusion in Science, Technology, Engineering, and
Mathematics</t>
  </si>
  <si>
    <t>https://www.britishscienceassociation.org/Handlers/Download.ashx?IDMF=b0479031-7e8b-4a0e-b3c6-80b7c383a183</t>
  </si>
  <si>
    <t>Strategies, policies or processes</t>
  </si>
  <si>
    <t>Report</t>
  </si>
  <si>
    <t>EPS - not specified</t>
  </si>
  <si>
    <t>EDI - not specified</t>
  </si>
  <si>
    <t>Proof of Concept</t>
  </si>
  <si>
    <t>Best Practice Guide: Developing Inclusive Conferences</t>
  </si>
  <si>
    <t>Alice Chautard, and Dr Claire Hann</t>
  </si>
  <si>
    <t xml:space="preserve">University of Oxford </t>
  </si>
  <si>
    <t>https://reachwater.org.uk/wp-content/uploads/2019/05/2019_05_22_Inclusive-Conference-Guide.pdf</t>
  </si>
  <si>
    <t>Included</t>
  </si>
  <si>
    <t>3b_Summaries_copilot'!C6</t>
  </si>
  <si>
    <t>Guide</t>
  </si>
  <si>
    <t>Academia</t>
  </si>
  <si>
    <t>Department</t>
  </si>
  <si>
    <t>Non-EPS</t>
  </si>
  <si>
    <t>EDI - not specified, sex, caring responsiblities</t>
  </si>
  <si>
    <t>Accessible Workspaces, Diverse Representation,  Anti-discrimination measures, Harassment Prevention</t>
  </si>
  <si>
    <t>Scaling</t>
  </si>
  <si>
    <t>National Association of Disabled Staff Networks</t>
  </si>
  <si>
    <t>https://www.nadsn-uk.org/</t>
  </si>
  <si>
    <t>3b_Summaries_copilot'!C7</t>
  </si>
  <si>
    <t>Employer Engagement and Outreach</t>
  </si>
  <si>
    <t>Multiple Universities/Organisations</t>
  </si>
  <si>
    <t xml:space="preserve"> Belonging Initiatives,  Employee Resource Groups </t>
  </si>
  <si>
    <t>STEM Equals</t>
  </si>
  <si>
    <t>University of Strathclyde</t>
  </si>
  <si>
    <t>https://www.stemequals.ac.uk/</t>
  </si>
  <si>
    <t>3b_Summaries_copilot'!C8</t>
  </si>
  <si>
    <t xml:space="preserve">Academia, Industry </t>
  </si>
  <si>
    <t>Sex, Sexual orientation, trans identity</t>
  </si>
  <si>
    <t>Recruitment Strategies, Career Progression,  Leadership Development, Retention, Visibility</t>
  </si>
  <si>
    <t>Targeted Grant PI</t>
  </si>
  <si>
    <t xml:space="preserve"> Belonging Initiatives</t>
  </si>
  <si>
    <t>Interviews, Focus groups</t>
  </si>
  <si>
    <t>Persistant inequalities, Evidence of good practice, Data and monitoring</t>
  </si>
  <si>
    <t>Promoting EDI in University Spinout Companies</t>
  </si>
  <si>
    <t>Oxford Brookes University</t>
  </si>
  <si>
    <t>https://www.brookes.ac.uk/Research/Units/OBBS/Projects/Women-and-Spinouts/</t>
  </si>
  <si>
    <t>3b_Summaries_copilot'!C9</t>
  </si>
  <si>
    <t>Sex</t>
  </si>
  <si>
    <t xml:space="preserve"> Barrier Removal,  Equitable Opportunities, Development Opportunities</t>
  </si>
  <si>
    <t>None</t>
  </si>
  <si>
    <t>What is white privilege?</t>
  </si>
  <si>
    <t>John Amaechi</t>
  </si>
  <si>
    <t>BBC Bitesize</t>
  </si>
  <si>
    <t>https://www.bbc.co.uk/bitesize/articles/zrvkbqt</t>
  </si>
  <si>
    <t xml:space="preserve">Excluded </t>
  </si>
  <si>
    <t>Describing and raising awareness of an aspect of EDI but not providing actionable points.</t>
  </si>
  <si>
    <t>3b_Summaries_copilot'!C10</t>
  </si>
  <si>
    <t>Training</t>
  </si>
  <si>
    <t>Video</t>
  </si>
  <si>
    <t>Race</t>
  </si>
  <si>
    <t xml:space="preserve">Awareness and conceptualisation </t>
  </si>
  <si>
    <t>W is for Whiteness in higher education</t>
  </si>
  <si>
    <t>Rachel Vandana Stone</t>
  </si>
  <si>
    <t>Wonkhe</t>
  </si>
  <si>
    <t>https://wonkhe.com/blogs/w-is-for-whiteness-in-higher-education/?utm_medium=email&amp;utm_campaign=Wonkhe%20Mondays%20-%2028%20June&amp;utm_content=Wonkhe%20Mondays%20-%2028%20June+CID_9a1a0b1dbec57b2124fe152452f02f7b&amp;utm_source=Email%20marketing%20software&amp;utm_term=unmasks%20white%20privilege%20in%20higher%20education</t>
  </si>
  <si>
    <t>Excluded</t>
  </si>
  <si>
    <t>3b_Summaries_copilot'!C11</t>
  </si>
  <si>
    <t>Preventing bullying and harassment in research and innovation</t>
  </si>
  <si>
    <t>URKI</t>
  </si>
  <si>
    <t>https://www.ukri.org/what-we-do/supporting-healthy-research-and-innovation-culture/bullying-and-harassment/</t>
  </si>
  <si>
    <t>3b_Summaries_copilot'!C12</t>
  </si>
  <si>
    <t>EDI - Any</t>
  </si>
  <si>
    <t xml:space="preserve"> Microaggression Mitigation and Prevention, Harassment and Bullying</t>
  </si>
  <si>
    <t>Copilot Summary</t>
  </si>
  <si>
    <t>These summaries were generated using Microsoft co-pilot using the prompt: " Provide a concise summary of this document in 3-6 sentences. Include what the document is about, who it is for and the main points of the document."</t>
  </si>
  <si>
    <t>This guidance, developed by the UK Cabinet Office’s Disability Unit, provides advice on using respectful and inclusive language when referring to disabled people. It is intended for anyone writing or speaking about disability, especially in public, professional, or policy contexts. The resource emphasizes avoiding outdated or negative terms, using person-first and empowering language, and being mindful of tone and everyday expressions. It also includes a list of preferred terms and practical tips for respectful communication and behaviour.</t>
  </si>
  <si>
    <t>The Tech Talent Charter Toolkit is a free, practical resource designed to help organisations improve diversity and inclusion (D&amp;I) in the tech sector. It is aimed at employers of all sizes, HR professionals, and D&amp;I leaders. The toolkit includes best practice guides, case studies, and actionable tools covering topics such as inclusive hiring, retention, progression, neurodiversity, and allyship. Developed collaboratively with industry partners, it supports organisations in creating more equitable and inclusive workplaces.</t>
  </si>
  <si>
    <t>The Equality, Diversity, and Inclusion Strategies in STEM – Briefing (April 2025) explores how STEM organisations develop and implement EDI strategies, based on interviews with EDI and HR leaders. It is aimed at policymakers, STEM employers, and EDI professionals. The report highlights four key areas for action: embedding EDI into business growth, improving diversity data, evaluating EDI impact, and supporting smaller organisations. It stresses the importance of leadership, better data practices, and inclusive workplace cultures. The briefing also calls for tailored support for start-ups and more meaningful benchmarking and accountability across the sector.</t>
  </si>
  <si>
    <t>This document is a practical guide from the University of Oxford for anyone organising conferences or events, with the goal of making them more inclusive and diverse. It offers step-by-step recommendations on accessible venues, diverse speaker selection, inclusive participation, and support for attendees’ different needs. The guide is based on expert input and survey responses, and is designed to help organisers create events that welcome people from all backgrounds.</t>
  </si>
  <si>
    <t>The National Association of Disabled Staff Networks (NADSN) is a UK-based collaborative super-network that connects and represents disabled staff networks, primarily within the tertiary education sector (universities and colleges). It provides a platform for sharing experiences, best practices, and addressing challenges related to disability inclusion in the workplace. While its core focus is on higher education, NADSN welcomes individuals and organisations from all sectors—public, private, social, and voluntary—who are committed to advancing equality for disabled staff. The network supports regional hubs, offers resources, and encourages collaboration to strengthen the voice and impact of disabled staff networks across the UK.</t>
  </si>
  <si>
    <t>The STEM Equals project is a four-year research and impact initiative funded by EPSRC under the Inclusion Matters programme. It is designed to create more inclusive STEM environments for women and LGBT+ people in both academia and industry. Aimed at researchers, institutions, and industry partners, the project uses an intersectional approach to examine workplace cultures, identify systemic inequalities, and develop evidence-based strategies for change. Key goals include improving hiring and promotion practices, supporting inclusive policies, and enhancing retention and belonging for underrepresented groups. The project is led by the University of Strathclyde in partnership with BAM Nuttall Ltd.</t>
  </si>
  <si>
    <t>The Women and Spinouts project, led by Oxford Brookes University in collaboration with the University of Oxford, investigates the barriers and enablers for women in STEM to lead university spinout companies. Funded by the EPSRC under the Inclusion Matters programme, the project is aimed at researchers, academic institutions, investors, and policymakers. It highlights the underrepresentation of women in spinout leadership and explores systemic challenges across the entrepreneurial pathway. Through research reports, interviews, and events, the project offers insights and recommendations to support gender-inclusive innovation. Its goal is to foster a more equitable spinout ecosystem by influencing policy, practice, and investment strategies.</t>
  </si>
  <si>
    <t>The BBC Bitesize article titled “What is white privilege?” features psychologist and former NBA player John Amaechi explaining the concept of white privilege in an accessible and personal way. Aimed at students and the general public, the article clarifies that white privilege is not about wealth or an easy life, but about the absence of racial barriers that others face. Amaechi emphasizes that acknowledging privilege doesn’t mean guilt or blame—it’s about understanding how systems work and how they affect others. He uses relatable examples, such as accessibility challenges faced by disabled friends, to illustrate how privilege often goes unnoticed by those who have it. The article encourages self-awareness and empathy as tools for building a more inclusive society.</t>
  </si>
  <si>
    <t>The Wonkhe article “W is for Whiteness in Higher Education” explores how whiteness operates as a system of privilege and power within UK universities. Written for educators, policymakers, and higher education professionals, it argues that understanding racism requires first understanding whiteness—not as skin colour, but as a social construct tied to systemic advantage. The article highlights how whiteness shapes curricula, institutional responses to racism, and everyday interactions, often marginalising non-white perspectives and experiences. It calls for critical reflection on whose knowledge is prioritised in academia and urges institutions to challenge Eurocentric norms and structures. The piece ultimately advocates for a more inclusive and equitable higher education environment.</t>
  </si>
  <si>
    <t>The UKRI resource on bullying and harassment in research and innovation outlines the organisation’s commitment to fostering a safe, respectful, and inclusive research culture. It is intended for researchers, institutions, and organisations funded by UKRI. The guidance highlights the negative impact of bullying and harassment on wellbeing, research quality, and integrity, and sets out UKRI’s expectations for funded bodies to prevent and address such behaviour. It includes a position statement, reporting procedures, and outlines consequences for non-compliance. UKRI also supports systemic change through partnerships, evidence reviews, and policy development to promote a healthier research environment.</t>
  </si>
  <si>
    <t>Type of Resource</t>
  </si>
  <si>
    <t>Resource Subject (Modified)</t>
  </si>
  <si>
    <t>Resource Type (Modified)</t>
  </si>
  <si>
    <t>Resource Format (Modified)</t>
  </si>
  <si>
    <t>Level</t>
  </si>
  <si>
    <t>Discipline</t>
  </si>
  <si>
    <t>Research Funding Process</t>
  </si>
  <si>
    <t>Evalution Methods</t>
  </si>
  <si>
    <t>EDI Readiness Level</t>
  </si>
  <si>
    <t>__PowerAppsId__</t>
  </si>
  <si>
    <t>Database/List</t>
  </si>
  <si>
    <t>Blog</t>
  </si>
  <si>
    <t>Programme or Initiative</t>
  </si>
  <si>
    <t>Guidance Resources</t>
  </si>
  <si>
    <t>Not Specified</t>
  </si>
  <si>
    <t>Digital Economy</t>
  </si>
  <si>
    <t>Barrier Removal</t>
  </si>
  <si>
    <t>Addressing Structural Inequality</t>
  </si>
  <si>
    <t>Accessible &amp; Inclusive Workspaces</t>
  </si>
  <si>
    <t>Conceptual/not based on empirical evidence</t>
  </si>
  <si>
    <t xml:space="preserve"> Creativity &amp; Innovation</t>
  </si>
  <si>
    <t>c71b529f-67e0-44ac-a259-1e5f3a7d61ee</t>
  </si>
  <si>
    <t>Webinar</t>
  </si>
  <si>
    <t>Databases and List</t>
  </si>
  <si>
    <t>Podcast</t>
  </si>
  <si>
    <t>National Initiative</t>
  </si>
  <si>
    <t>Abilities</t>
  </si>
  <si>
    <t>Energy and Decarbonisation</t>
  </si>
  <si>
    <t>Career Mobility</t>
  </si>
  <si>
    <t>Advertising Approach</t>
  </si>
  <si>
    <t>Allyship &amp; Advocacy</t>
  </si>
  <si>
    <t>Qualitative analysis of focus groups</t>
  </si>
  <si>
    <t xml:space="preserve"> Wider impact &amp; systemic change</t>
  </si>
  <si>
    <t>47704645-6a5a-488f-8f90-d7d4020132cb</t>
  </si>
  <si>
    <t>Event</t>
  </si>
  <si>
    <t>Grant &amp; Award</t>
  </si>
  <si>
    <t xml:space="preserve">Training &amp; Educational </t>
  </si>
  <si>
    <t>Age</t>
  </si>
  <si>
    <t>Industry</t>
  </si>
  <si>
    <t>Engineering</t>
  </si>
  <si>
    <t>Career Progression</t>
  </si>
  <si>
    <t>Application Processes</t>
  </si>
  <si>
    <t>Anti-discrimination measures</t>
  </si>
  <si>
    <t xml:space="preserve"> Awareness raising</t>
  </si>
  <si>
    <t>e3a9815e-f830-416c-b9e7-15f12f7fc802</t>
  </si>
  <si>
    <t>Policy Document</t>
  </si>
  <si>
    <t>Policies, Strategies &amp; Processes</t>
  </si>
  <si>
    <t>Academic Paper</t>
  </si>
  <si>
    <t>Career Stage</t>
  </si>
  <si>
    <t>Healthcare Technologies</t>
  </si>
  <si>
    <t>Career Transitions</t>
  </si>
  <si>
    <t>Application Support</t>
  </si>
  <si>
    <t>Belonging Initiatives</t>
  </si>
  <si>
    <t>Time series analysis</t>
  </si>
  <si>
    <t xml:space="preserve"> Organisational Policies</t>
  </si>
  <si>
    <t>08dce1d7-31a3-444a-a99b-615243f827ad</t>
  </si>
  <si>
    <t>Grants</t>
  </si>
  <si>
    <t>News Article</t>
  </si>
  <si>
    <t xml:space="preserve">Recognition Schemes </t>
  </si>
  <si>
    <t>Book Chapter</t>
  </si>
  <si>
    <t>Document</t>
  </si>
  <si>
    <t>Project</t>
  </si>
  <si>
    <t>Caring Responsiblities</t>
  </si>
  <si>
    <t>Cross-Sectoral Transitions</t>
  </si>
  <si>
    <t>Bias Mitigation</t>
  </si>
  <si>
    <t>Bias</t>
  </si>
  <si>
    <t>Case study/studies</t>
  </si>
  <si>
    <t xml:space="preserve"> Sense of belonging</t>
  </si>
  <si>
    <t>Widespread adoption</t>
  </si>
  <si>
    <t>777eb055-ce0b-4fec-aec9-6955d4b6cfc6</t>
  </si>
  <si>
    <t>Presentation</t>
  </si>
  <si>
    <t>Employer Engagement &amp; Outreach</t>
  </si>
  <si>
    <t>Dataset</t>
  </si>
  <si>
    <t>Manufacturing the Future</t>
  </si>
  <si>
    <t>Diverse Leadership</t>
  </si>
  <si>
    <t>Eligiblity Criteria</t>
  </si>
  <si>
    <t>Cultural Competency</t>
  </si>
  <si>
    <t xml:space="preserve"> Behaviour change</t>
  </si>
  <si>
    <t>Not applicable</t>
  </si>
  <si>
    <t>56b60637-ed14-4bb7-b046-8dd5912c6081</t>
  </si>
  <si>
    <t>Programme</t>
  </si>
  <si>
    <t>Informational</t>
  </si>
  <si>
    <t>Article</t>
  </si>
  <si>
    <t>CDT</t>
  </si>
  <si>
    <t>Education Status</t>
  </si>
  <si>
    <t>Mathematical Sciences</t>
  </si>
  <si>
    <t>Equitable Opportunities</t>
  </si>
  <si>
    <t xml:space="preserve">Panel Diversity </t>
  </si>
  <si>
    <t>Diverse Representation</t>
  </si>
  <si>
    <t>Within-groups design</t>
  </si>
  <si>
    <t>Participation rates</t>
  </si>
  <si>
    <t>888e2e70-1933-4867-a7ef-736ce3704ae1</t>
  </si>
  <si>
    <t>PDF</t>
  </si>
  <si>
    <t>Learned Society</t>
  </si>
  <si>
    <t>Job Roles</t>
  </si>
  <si>
    <t>Physical Sciences</t>
  </si>
  <si>
    <t>Leadership Development</t>
  </si>
  <si>
    <t>Peer Review</t>
  </si>
  <si>
    <t>Data Collection &amp; Monitoring</t>
  </si>
  <si>
    <t>Ethnography/observation</t>
  </si>
  <si>
    <t xml:space="preserve"> Support &amp; Productivity</t>
  </si>
  <si>
    <t>23a02672-414e-4fa5-9dfd-b979d8f33e56</t>
  </si>
  <si>
    <t>Recognition Scheme</t>
  </si>
  <si>
    <t>Poster</t>
  </si>
  <si>
    <t>Linguistic</t>
  </si>
  <si>
    <t>Research Infrastructure</t>
  </si>
  <si>
    <t>Mentorship &amp; Sponsorship</t>
  </si>
  <si>
    <t>Post Award Support</t>
  </si>
  <si>
    <t>Employee Resource Groups</t>
  </si>
  <si>
    <t>Qualitative analysis of interviews</t>
  </si>
  <si>
    <t xml:space="preserve"> Empowerment &amp; agency</t>
  </si>
  <si>
    <t>08664710-9946-4db9-bb15-a9570b040289</t>
  </si>
  <si>
    <t>Organised Event</t>
  </si>
  <si>
    <t>Single University/Organisation</t>
  </si>
  <si>
    <t>Marriage and Civil Partnership</t>
  </si>
  <si>
    <t>Quantum Technologies</t>
  </si>
  <si>
    <t>Networking &amp; Collaboration</t>
  </si>
  <si>
    <t>Pre-submission Selection</t>
  </si>
  <si>
    <t>Harassment, Bullying and Microagression Prevention</t>
  </si>
  <si>
    <t>Cross-sectional analysis</t>
  </si>
  <si>
    <t xml:space="preserve"> Retention</t>
  </si>
  <si>
    <t>bdd120b8-6a3f-4d9c-b0c2-38196e8bf7ad</t>
  </si>
  <si>
    <t>Evidence Document</t>
  </si>
  <si>
    <t>School</t>
  </si>
  <si>
    <t>Nationality</t>
  </si>
  <si>
    <t>EPS - general</t>
  </si>
  <si>
    <t>Pipeline Development</t>
  </si>
  <si>
    <t>Resource Allocation</t>
  </si>
  <si>
    <t>Inclusive Language</t>
  </si>
  <si>
    <t>Between-groups design</t>
  </si>
  <si>
    <t xml:space="preserve"> Policy adoption</t>
  </si>
  <si>
    <t>fa1e8358-2284-4c9e-82b7-1ade9d67946e</t>
  </si>
  <si>
    <t>Neurodiversity</t>
  </si>
  <si>
    <t>Professional Development</t>
  </si>
  <si>
    <t>Securing Funding</t>
  </si>
  <si>
    <t>Inclusive Leadership</t>
  </si>
  <si>
    <t>90936b1b-1164-4d43-bf47-2df51c96afcb</t>
  </si>
  <si>
    <t>Social Media and Blog posts</t>
  </si>
  <si>
    <t>Physical Characteristics</t>
  </si>
  <si>
    <t>Recruitment Strategies</t>
  </si>
  <si>
    <t>Targeted Grants</t>
  </si>
  <si>
    <t>Policy Review &amp; Reform</t>
  </si>
  <si>
    <t>6a1601bd-2b41-4dac-bf2e-1389e230ac27</t>
  </si>
  <si>
    <t>Student/Staff Profiles</t>
  </si>
  <si>
    <t>Preferences</t>
  </si>
  <si>
    <t>Retention Strategies</t>
  </si>
  <si>
    <t xml:space="preserve">Research Design </t>
  </si>
  <si>
    <t>f2702df0-e365-4d5c-b9a5-9a55f49c66ed</t>
  </si>
  <si>
    <t>Legislation</t>
  </si>
  <si>
    <t>Pregnancy and Maternity</t>
  </si>
  <si>
    <t xml:space="preserve">Visibility &amp; Recognition </t>
  </si>
  <si>
    <t>78cd9b5f-5d17-4a4b-8556-6a9198e9b6f6</t>
  </si>
  <si>
    <t>Case Study and Testimonial</t>
  </si>
  <si>
    <t>(Personal) Interests</t>
  </si>
  <si>
    <t>Systemic Change</t>
  </si>
  <si>
    <t>3de99e21-1553-4e87-826d-82916f0b29de</t>
  </si>
  <si>
    <t>Informational Resource</t>
  </si>
  <si>
    <t>Work-Life Balance</t>
  </si>
  <si>
    <t>7ca4dbdb-f20d-4927-a7c0-cc12e5ae8f69</t>
  </si>
  <si>
    <t>Religion or Belief</t>
  </si>
  <si>
    <t>b6f037da-7f05-43df-a757-0a3dd2584514</t>
  </si>
  <si>
    <t>76e8e676-8a96-45c0-928f-4aca72440cad</t>
  </si>
  <si>
    <t>Sexual Orientation</t>
  </si>
  <si>
    <t>8f58bcc6-5bf6-49f5-8b74-8dbc257c3749</t>
  </si>
  <si>
    <t>Socio-Economic Background</t>
  </si>
  <si>
    <t>6ccf0db3-5441-41cd-b58c-5f036dc1581b</t>
  </si>
  <si>
    <t>Temporary Impairment</t>
  </si>
  <si>
    <t>ccf2bb71-d1dd-4989-aec7-1b6a8cac7888</t>
  </si>
  <si>
    <t>Trans Identity</t>
  </si>
  <si>
    <t>2443ebc5-e9c0-4fd6-9023-af4f1d3378aa</t>
  </si>
  <si>
    <t>2e946d99-22fd-4b83-9f00-6f5f0bc385f0</t>
  </si>
  <si>
    <t>24f5bc43-540c-4daa-af66-d59db8ae7e71</t>
  </si>
  <si>
    <t>4cfa4952-7842-49f7-bc9a-91311a5b4499</t>
  </si>
  <si>
    <t>344f9ac2-004b-488b-9c18-977ddb52e46d</t>
  </si>
  <si>
    <t>10bdc427-5099-49ff-b0b5-1f956f9c6aa6</t>
  </si>
  <si>
    <t>f773ffb0-fe58-424f-ab8b-bc7d2e3c9e7f</t>
  </si>
  <si>
    <t>f9eaa564-9546-471b-a374-842add9d42b3</t>
  </si>
  <si>
    <t>07b044a4-efd0-4567-8f5e-3120823834e8</t>
  </si>
  <si>
    <t>5d329548-f3d3-4a22-988b-9e7a01f573c3</t>
  </si>
  <si>
    <t>fbbf2aab-2769-401c-9248-893bad68a839</t>
  </si>
  <si>
    <t>Podcast/Audio</t>
  </si>
  <si>
    <t>For columns with multi-select, select the option once to add and again to remove</t>
  </si>
  <si>
    <t xml:space="preserve">Dropdown </t>
  </si>
  <si>
    <t>Multiselect</t>
  </si>
  <si>
    <t>Dropdown</t>
  </si>
  <si>
    <t>Example</t>
  </si>
  <si>
    <t>Institution</t>
  </si>
  <si>
    <t>Included_Excluded</t>
  </si>
  <si>
    <t>Reason for Exclusion (if applicable)</t>
  </si>
  <si>
    <t>Summary (will be generated using AI)</t>
  </si>
  <si>
    <t>Subject of Resource (Archived)</t>
  </si>
  <si>
    <t>Type of Resource (Archived)</t>
  </si>
  <si>
    <t>Discipline (Archived)</t>
  </si>
  <si>
    <t>Miscellaneous Themes</t>
  </si>
  <si>
    <t>Evaluation Link</t>
  </si>
  <si>
    <t>EDI Intervention Readiness (Archive)</t>
  </si>
  <si>
    <t>Hosting Accessible Online Events, Meetings and Webinars</t>
  </si>
  <si>
    <t>Autistica</t>
  </si>
  <si>
    <t>https://www.autistica.org.uk/what-is-autism/coronavirus/accessible-online-events</t>
  </si>
  <si>
    <t xml:space="preserve">Included  </t>
  </si>
  <si>
    <t>No</t>
  </si>
  <si>
    <t>What Is White Privilege?</t>
  </si>
  <si>
    <t>Describing and raising awareness of an aspect of EDI but not providing resource of an initative.</t>
  </si>
  <si>
    <t>The Quiet Power of Introverts </t>
  </si>
  <si>
    <t>BBC Ideas</t>
  </si>
  <si>
    <t>https://www.youtube.com/watch?v=o1Y4Z0oh1GE</t>
  </si>
  <si>
    <t xml:space="preserve">Abilities </t>
  </si>
  <si>
    <t>We Must Reshape the System to Value and Support Difference</t>
  </si>
  <si>
    <t xml:space="preserve">Dame Ottoline Leyser </t>
  </si>
  <si>
    <t>UKRI</t>
  </si>
  <si>
    <t>https://www.ukri.org/blog/we-must-reshape-the-system-to-value-and-support-difference</t>
  </si>
  <si>
    <t>Page not found</t>
  </si>
  <si>
    <t>All Welcome Guide to Inclusive, Accessible and Sustainable Events</t>
  </si>
  <si>
    <t>British Academy of Management</t>
  </si>
  <si>
    <t>https://www.bam.ac.uk/knowledge-hub/inclusive-accessible-and-sustainable-events.html</t>
  </si>
  <si>
    <t>Accessible &amp; Inclusive Workspaces, Diverse Representation</t>
  </si>
  <si>
    <t xml:space="preserve">Diversity And Inclusion Hub </t>
  </si>
  <si>
    <t>Pearn Kandola</t>
  </si>
  <si>
    <t>https://pearnkandola.com/diversity-and-inclusion-hub/</t>
  </si>
  <si>
    <t>We Are the Ones That We Seek: Equality, Diversity and Inclusion In CREDS</t>
  </si>
  <si>
    <t>Sarah Higginson</t>
  </si>
  <si>
    <t>Centre for Research into Energy Demand Solutions</t>
  </si>
  <si>
    <t>https://www.creds.ac.uk/publications/we-are-the-ones-that-we-seek-equality-diversity-and-inclusion-in-creds/</t>
  </si>
  <si>
    <t>Recruitment Strategies, Career Progression</t>
  </si>
  <si>
    <t xml:space="preserve"> Resource Allocation</t>
  </si>
  <si>
    <t>Harassment, Bullying and Microagression Prevention, Accessible &amp; Inclusive Workspaces, Diverse Representation, Inclusive Language</t>
  </si>
  <si>
    <t xml:space="preserve">Yes </t>
  </si>
  <si>
    <t>https://www.creds.ac.uk/evaluating-the-impact-of-equality-diversity-and-inclusion-edi-research/</t>
  </si>
  <si>
    <t>recrutiment statistics, EDI action plan, publications, call for evidence, supporting tools</t>
  </si>
  <si>
    <t>Diverse Panel Pledge</t>
  </si>
  <si>
    <t>CGIAR</t>
  </si>
  <si>
    <t>https://www.cgiar.org/how-we-work/accountability/gdi-panel-pledge/</t>
  </si>
  <si>
    <t>Agriculture</t>
  </si>
  <si>
    <t>Sex, Race, Age, Nationality, Abilties, Socio-Economic Background</t>
  </si>
  <si>
    <t>Inclusive Language: Words To Use and Avoid When Writing About Disability</t>
  </si>
  <si>
    <t>Equality, Diversity and Inclusion Champions</t>
  </si>
  <si>
    <t xml:space="preserve">University of Warwick </t>
  </si>
  <si>
    <t>https://warwick.ac.uk/services/socialinclusion/about/people/champions/ediwellbeingchampions</t>
  </si>
  <si>
    <t>The Equality Act 2010: Positive Action Through Bursaries, Scholarships and Prizes</t>
  </si>
  <si>
    <t>Equality Change Unit</t>
  </si>
  <si>
    <t>https://s3.eu-west-2.amazonaws.com/assets.creode.advancehe-document-manager/documents/ecu/positive-action-through-bursaries-scholarships-and-prizes_1578925829.pdf</t>
  </si>
  <si>
    <t>Age, Disability, Trans Identity, Pregnancy and Maternity, Race, Religion or Belief, Sex, Sexual Orientation</t>
  </si>
  <si>
    <t>Addressing Structural Inequality, Transparency and Accessiblity of Process</t>
  </si>
  <si>
    <t xml:space="preserve">Widespread Adoption </t>
  </si>
  <si>
    <t xml:space="preserve">Events Code of Conduct </t>
  </si>
  <si>
    <t xml:space="preserve">Knowledge transfer network </t>
  </si>
  <si>
    <t>Knowledge transfer Network</t>
  </si>
  <si>
    <t>https://info.ktn-uk.org/p/2VFU-94T/inspiring-diversity-in-manufacturing-speaker-list</t>
  </si>
  <si>
    <t>The Broken Pipeline Report: Barriers to Black PhD Students Accessing Research Council Funding</t>
  </si>
  <si>
    <t>Paulette Williams, Sukhi Bath, Dr. Jason Arday and Chantelle Lewis</t>
  </si>
  <si>
    <t>Leading Routes</t>
  </si>
  <si>
    <t>https://www.leadingroutes.org/the-broken-pipeline-report/</t>
  </si>
  <si>
    <t>Retention Strategies, Professional Development, Diverse Leadership, Recruitment Strategies</t>
  </si>
  <si>
    <t xml:space="preserve"> Application Support</t>
  </si>
  <si>
    <t>Racism In Universities Podcast</t>
  </si>
  <si>
    <t>https://pearnkandola.com/diversity-and-inclusion-hub/guides-and-tools/racism-at-work-podcast-episode-4-racism-in-universities/</t>
  </si>
  <si>
    <t>LMS Advice on Diversity of Speakers at Conferences and Seminars</t>
  </si>
  <si>
    <t>Women and Diversity in Mathematics</t>
  </si>
  <si>
    <t>London Mathematical Society</t>
  </si>
  <si>
    <t>https://www.lms.ac.uk/women/speaker-diversity-conferences-seminars</t>
  </si>
  <si>
    <t>Mathematical sciences</t>
  </si>
  <si>
    <t>Harassment, Bullying and Microagression Prevention, Diverse Representation</t>
  </si>
  <si>
    <t>Reports And Policy Submissions</t>
  </si>
  <si>
    <t>London Mathematical Society </t>
  </si>
  <si>
    <t>https://www.lms.ac.uk/policy/reports-and-policy-submissions </t>
  </si>
  <si>
    <t xml:space="preserve"> Pipeline Development</t>
  </si>
  <si>
    <t>Diversity Statements, Policy, Advice</t>
  </si>
  <si>
    <t>https://www.lms.ac.uk/women/diversity-statements-policy-advice </t>
  </si>
  <si>
    <t>Policy Review &amp; Reform, Accessible &amp; Inclusive Workspaces</t>
  </si>
  <si>
    <t>Inclusivity In Materials Science</t>
  </si>
  <si>
    <t>Nature Reviews Materials</t>
  </si>
  <si>
    <t>https://www.nature.com/collections/jdgjdceijd</t>
  </si>
  <si>
    <t>Northern Power Inclusion Matters Project</t>
  </si>
  <si>
    <t>Northern Power Inclusion Matters</t>
  </si>
  <si>
    <t>https://northernpowerinclusion.org/</t>
  </si>
  <si>
    <t>Leadership Development, Career Progression, Mentorship &amp; Sponsorship</t>
  </si>
  <si>
    <t>Yes</t>
  </si>
  <si>
    <t>https://collections.durham.ac.uk/files/r1j098zb14w</t>
  </si>
  <si>
    <t>Career Progression of staff; Securing funding</t>
  </si>
  <si>
    <t>Phy Soc Podcast Episode - Prof. Kate Sang</t>
  </si>
  <si>
    <t>Prof. Kate Sang</t>
  </si>
  <si>
    <t>PhySoc, St Andrews University</t>
  </si>
  <si>
    <t>https://www.st-andrews.ac.uk/~physoc1/insight/episode.php?s=academics&amp;ep=41</t>
  </si>
  <si>
    <t xml:space="preserve">LGBT+ Toolkit </t>
  </si>
  <si>
    <t xml:space="preserve">Royal Society of Chemistry </t>
  </si>
  <si>
    <t>https://www.rsc.org/policy-evidence-campaigns/inclusion-diversity/resources/lgbt-toolkit/</t>
  </si>
  <si>
    <t>Sexual Orientation, Trans Identity</t>
  </si>
  <si>
    <t xml:space="preserve">Inclusive language, Allyship, Cultural Competency, Diverse Representation </t>
  </si>
  <si>
    <t>Exploring The Workplace For LGBT+ Physical Scientists</t>
  </si>
  <si>
    <t>Institute of Physics, Royal Astronomical Society and the Royal Society of Chemistry</t>
  </si>
  <si>
    <t>https://www.rsc.org/policy-evidence-campaigns/inclusion-diversity/surveys-reports-campaigns/lgbt-report/</t>
  </si>
  <si>
    <t>Policy Review &amp; Reform,  Cultural Competency, Belonging Initiatives,</t>
  </si>
  <si>
    <t>Considering International Mobility For LGBT+ Scientists</t>
  </si>
  <si>
    <t>https://www.rsc.org/globalassets/22-new-perspectives/talent/inclusion-and-diversity/resources/lgbt-toolkit/considering-lgbt-international-mobility.pdf</t>
  </si>
  <si>
    <t>Trans Identity, Sexual Orientation</t>
  </si>
  <si>
    <t>Travel and Mobility, Charactersitics specific support</t>
  </si>
  <si>
    <t xml:space="preserve">An Employer's Guide to ADHD In the Workplace </t>
  </si>
  <si>
    <t>Scottish ADHD Coalition</t>
  </si>
  <si>
    <t>https://www.scottishadhdcoalition.org/wp-content/uploads/2018/03/Employers-guide-to-ADHD-SAC-2018.pdf</t>
  </si>
  <si>
    <t>Virtual Sandpits: A How-To Guide</t>
  </si>
  <si>
    <t>y Dmitry Dereshev. Edits by Natalie Theodoulou.</t>
  </si>
  <si>
    <t>SPRITE network+</t>
  </si>
  <si>
    <t>https://spritehub.org/wp-content/uploads/2020/12/SPRITE-Virtual-Sandpits-A-How-To-Guide.pdf</t>
  </si>
  <si>
    <t>Comprehensive Guidance on Modifying Existing Lab Spaces to Enable Equal Access to Disabled Students</t>
  </si>
  <si>
    <t>STEMenabled</t>
  </si>
  <si>
    <t>https://robertaerichardson.wixsite.com/stemenabled</t>
  </si>
  <si>
    <t>Disability, Neurodiversity</t>
  </si>
  <si>
    <t xml:space="preserve">Awareness Training, Accessible &amp; Inclusive Workspaces, </t>
  </si>
  <si>
    <t>Euros 2020: What All of Us Can Learn from Gareth Southgate</t>
  </si>
  <si>
    <t>Matthew Syed</t>
  </si>
  <si>
    <t>BBC News</t>
  </si>
  <si>
    <t>https://www.bbc.co.uk/news/world-57698821</t>
  </si>
  <si>
    <t xml:space="preserve">Not specific to EDI </t>
  </si>
  <si>
    <t>Who You Should Hire, Fire &amp; Promote</t>
  </si>
  <si>
    <t xml:space="preserve">Stephen Frost </t>
  </si>
  <si>
    <t>TEDxFulbrightGlasgow</t>
  </si>
  <si>
    <t>https://www.youtube.com/watch?app=desktop&amp;v=cAs49Cl4kJ8</t>
  </si>
  <si>
    <t>Recruitment Strategies, Diverse Leadership</t>
  </si>
  <si>
    <t>Text.Io Research</t>
  </si>
  <si>
    <t>Text.io</t>
  </si>
  <si>
    <t>https://textio.com/resources/research</t>
  </si>
  <si>
    <t xml:space="preserve">Not related to EDI </t>
  </si>
  <si>
    <t>Equality Act 2021</t>
  </si>
  <si>
    <t>Government Equalities Office</t>
  </si>
  <si>
    <t>https://assets.publishing.service.gov.uk/government/uploads/system/uploads/attachment_data/file/85014/positive-action-recruitment.pdf</t>
  </si>
  <si>
    <t>Using Pronouns in The Workplace</t>
  </si>
  <si>
    <t>The Law Society</t>
  </si>
  <si>
    <t>https://www.lawsociety.org.uk/topics/hr-and-people-management/using-pronouns-in-the-workplace</t>
  </si>
  <si>
    <t>Accessibility Posters</t>
  </si>
  <si>
    <t xml:space="preserve">UK Home Office </t>
  </si>
  <si>
    <t>https://github.com/UKHomeOffice/posters/blob/master/accessibility/dos-donts/posters_en-UK/accessibility-posters-set.pdf</t>
  </si>
  <si>
    <t xml:space="preserve">Disability, Neurodiversity, Temporary Impairment, </t>
  </si>
  <si>
    <t>Reimagining Recruitment</t>
  </si>
  <si>
    <t>Reimagining Recruitment team</t>
  </si>
  <si>
    <t>University of Bath</t>
  </si>
  <si>
    <t>https://www.bath.ac.uk/projects/reimagining-recruitment/</t>
  </si>
  <si>
    <t>Project has ended</t>
  </si>
  <si>
    <t xml:space="preserve">Project </t>
  </si>
  <si>
    <t>Recruitment</t>
  </si>
  <si>
    <t>UKRI Good Practice Principles in Recruitment and Training at A Doctoral Level</t>
  </si>
  <si>
    <t>https://www.ukri.org/publications/ukri-good-practice-principles-in-recruitment-and-training-at-a-doctoral-level/</t>
  </si>
  <si>
    <t>Recruitment Strategies, Pipeline Development, Professional Development</t>
  </si>
  <si>
    <t>Management structures, Monitoring and evaluation</t>
  </si>
  <si>
    <t xml:space="preserve">University of York </t>
  </si>
  <si>
    <t>https://www.york.ac.uk/about/departments/support-and-admin/edo/champions/</t>
  </si>
  <si>
    <t>Belonging Initiatives, Diverse Representation, Cultural Competency</t>
  </si>
  <si>
    <t xml:space="preserve">Imperial College London </t>
  </si>
  <si>
    <t>https://www.imperial.ac.uk/media/imperial-college/administration-and-support-services/equality/public/Imperial-Conference-Policy,-October-2019.pdf</t>
  </si>
  <si>
    <t>Making Meetings and Events Accessible</t>
  </si>
  <si>
    <t>University of Manchester</t>
  </si>
  <si>
    <t>https://documents.manchester.ac.uk/display.aspx?DocID=11993</t>
  </si>
  <si>
    <t xml:space="preserve"> Career Progression</t>
  </si>
  <si>
    <t xml:space="preserve">Towards Diverse Workforces: Transforming The Language of Exclusion and Bias in Recruitment </t>
  </si>
  <si>
    <t>University of Nottingham</t>
  </si>
  <si>
    <t>https://www.stemm-change.co.uk/wp-content/uploads/2021/06/Transforming-the-Language-of-Exclusion-and-Bias-in-Recruitment-June-2021x.pdf</t>
  </si>
  <si>
    <t>Academia, Industry</t>
  </si>
  <si>
    <t xml:space="preserve">Recruitment Strategies, Barrier Removal </t>
  </si>
  <si>
    <t>Policy Adoption</t>
  </si>
  <si>
    <t>Accessible &amp; Inclusive Workspaces, Diverse Representation,  Harassment, Bullying and Microagression Prevention</t>
  </si>
  <si>
    <t>HR EDI Online Inclusive Recruitment Guide</t>
  </si>
  <si>
    <t xml:space="preserve">University of St Andrews </t>
  </si>
  <si>
    <t>https://www.st-andrews.ac.uk/hr/edi/inclusiverec/</t>
  </si>
  <si>
    <t>Quality Impact assessment</t>
  </si>
  <si>
    <t>University of Sussex</t>
  </si>
  <si>
    <t>https://www.sussex.ac.uk/equalities/networks/equalitydiversityandinclusionchampions</t>
  </si>
  <si>
    <t>How We Organised Our Most Accessible Event Ever</t>
  </si>
  <si>
    <t>Erika Loggin</t>
  </si>
  <si>
    <t xml:space="preserve">Wellcome Trust </t>
  </si>
  <si>
    <t>https://www.linkedin.com/pulse/how-we-organised-our-most-accessible-event-ever-erika-loggin/</t>
  </si>
  <si>
    <t>Blog post (from Wellcome Trust employee)</t>
  </si>
  <si>
    <t xml:space="preserve">100 Black Women Professors Now Impact Report </t>
  </si>
  <si>
    <t>Diksha Sanyal, Temitayo Lawal, Cianne Jones, Adèle MacKinlay, Professor Lisa-Dionne Morris</t>
  </si>
  <si>
    <t>Women Higher Education Network</t>
  </si>
  <si>
    <t>https://s3.amazonaws.com/kajabi-storefronts-production/file-uploads/sites/45828/downloads/a604721-38ee-61e6-072f-4a0cefa64c6_100BWPN_Impact_Report_2024.pdf</t>
  </si>
  <si>
    <t>Race, Sex</t>
  </si>
  <si>
    <t>Professional Development, Career Progression, Career Retention, Visibility &amp; Recognition, Diverse Leadership</t>
  </si>
  <si>
    <t>Belonging Initiatives, Cultural Competency, Systemic Change</t>
  </si>
  <si>
    <t>Anaysis of surveys
and semi-structured interviews.</t>
  </si>
  <si>
    <t>W Is for Whiteness in Higher Education</t>
  </si>
  <si>
    <t xml:space="preserve">SCUPLT For Accessibility </t>
  </si>
  <si>
    <t> Helen Wilson</t>
  </si>
  <si>
    <t>Worcestershire County Council</t>
  </si>
  <si>
    <t>https://www.worcestershire.gov.uk/sites/default/files/2024-12/FINAL%20sculpt%20infographic%20UpdatedV2.1%20%281%29.pdf</t>
  </si>
  <si>
    <t>https://www.tech4goodawards.com/finalist/sculpt-for-accessibility/</t>
  </si>
  <si>
    <t>Adoption multiple site, Award nomination,</t>
  </si>
  <si>
    <t>Association For Black and Ethnic Minority Engineers</t>
  </si>
  <si>
    <t>Association for Black and Ethnic Minority Engineers</t>
  </si>
  <si>
    <t>https://www.afbe.org.uk/</t>
  </si>
  <si>
    <t>Widespread Adoption</t>
  </si>
  <si>
    <t xml:space="preserve">EDI Resource Bank </t>
  </si>
  <si>
    <t>https://www.edi-resourcebank.co.uk/resource-bank</t>
  </si>
  <si>
    <t>Positive Action Vs Positive Discrimination</t>
  </si>
  <si>
    <t>https://www.stemwomen.co.uk/blog/2019/09/positive-action-vs-positive-discrimination-what-can-your-company-do-to-lawfully-encourage-more-female-applicants</t>
  </si>
  <si>
    <t>Russell Group Research Culture and Environment Toolkit</t>
  </si>
  <si>
    <t>Russell Group</t>
  </si>
  <si>
    <t>https://www.russellgroup.ac.uk/media/5924/rce-toolkit-final-compressed.pdf</t>
  </si>
  <si>
    <t>Recruitment Strategies, Career Progression, Retention Strategies, Diverse Leadership</t>
  </si>
  <si>
    <t xml:space="preserve">Neuro-Inclusive Meetings and Events Toolkit </t>
  </si>
  <si>
    <t>EPSRC</t>
  </si>
  <si>
    <t>https://leeds365.sharepoint.com/:p:/r/sites/TEAM-EPSRCEDIHubPlus/Shared%20Documents/Workstream%202%20-%20Resource%20Centre/Supporting%20Material/EPSRC-Neuro-Inclusion-Meetings-and-Events-Toolkit%20-%20Copy.pptx?d=wb9680e47395240628139d66721f2e57b&amp;csf=1&amp;web=1&amp;e=p5e7cB</t>
  </si>
  <si>
    <t>Equality, Diversity and Inclusion Strategies in STEM - Briefing</t>
  </si>
  <si>
    <t>Diverse Representation, Policy Review &amp; Reform, Data Collection &amp; Monitoring, Accessible &amp; Inclusive Workspaces, Inclusive Leadership</t>
  </si>
  <si>
    <t>Mission Critical Toolkit: Improving National Security Culture, Diversity &amp; Inclusion</t>
  </si>
  <si>
    <t>HM Government</t>
  </si>
  <si>
    <t>01122021_Mission Critical Toolkit_DIGITAL.pdf</t>
  </si>
  <si>
    <t>Sex, Race, Disability, Neurodiversity, Socio-Economic Background, Religion or Belief</t>
  </si>
  <si>
    <t>Recruitment Strategies, Visibility &amp; Recognition, Career Progression, Mentorship &amp; Sponsorship</t>
  </si>
  <si>
    <t>Application Processes, Advertising Approach</t>
  </si>
  <si>
    <t>Cultural Competency, Inclusive Language, Accessible &amp; Inclusive Workspaces, Inclusive Leadership, Harassment, Bullying and Microagression Prevention, Bias, Work-Life Balance</t>
  </si>
  <si>
    <t>improve workplace culture, increase diversity and improve inclusion.</t>
  </si>
  <si>
    <t>Advanced Strategic Platform for Inclusive Research Environments (ASPIRE)</t>
  </si>
  <si>
    <t>University of Lincoln</t>
  </si>
  <si>
    <t>https://eleanorglanvilleinstitute.lincoln.ac.uk/research/inclusive-environments/aspire/</t>
  </si>
  <si>
    <t>Inclusive Workplaces, Disseminating good practice, Barrier Removal</t>
  </si>
  <si>
    <t>https://www.ukri.org/wp-content/uploads/2023/04/EPSRC-130423-CollectionOutcomesOutputsEPSRCInclusionMattersPortfolioReport.pdf</t>
  </si>
  <si>
    <t>Career Progression of staff</t>
  </si>
  <si>
    <t xml:space="preserve">Evidence-Base; Growing the Big Grant Club (EBASE) </t>
  </si>
  <si>
    <t>University of Edinburgh</t>
  </si>
  <si>
    <t>https://ebaseevidencebase.wordpress.com/</t>
  </si>
  <si>
    <t>Sex, Race, Trans Identity, Sexual Orientation</t>
  </si>
  <si>
    <t xml:space="preserve"> Leadership Development</t>
  </si>
  <si>
    <t>Inclusion Really Does Matter</t>
  </si>
  <si>
    <t xml:space="preserve">Queens University Belfast </t>
  </si>
  <si>
    <t>https://www.qub.ac.uk/sites/InclusionReallyDoesMatter/</t>
  </si>
  <si>
    <t xml:space="preserve"> Diverse Representation, Policy Review &amp; Reform </t>
  </si>
  <si>
    <t>Creating An Inclusive Environment</t>
  </si>
  <si>
    <t>AdvanceHE</t>
  </si>
  <si>
    <t>https://www.advance-he.ac.uk/guidance/equality-diversity-and-inclusion/creating-inclusive-environment</t>
  </si>
  <si>
    <t>Collection</t>
  </si>
  <si>
    <t>Accessible &amp; Inclusive Workspaces, Harassment, Bullying and Microagression Prevention, Belonging Initiatives, Policy Review &amp; Reform</t>
  </si>
  <si>
    <t>Resources</t>
  </si>
  <si>
    <t>TIGERSTEMM</t>
  </si>
  <si>
    <t>https://www.tigerinstemm.org/resources</t>
  </si>
  <si>
    <t>Disability Inclusive Science Careers (DISC)</t>
  </si>
  <si>
    <t>Heriot Watt University, project</t>
  </si>
  <si>
    <t>http://disc.hw.ac.uk/</t>
  </si>
  <si>
    <t xml:space="preserve">Incomplete resource </t>
  </si>
  <si>
    <t>Sex, Sex, Trans Identity, Sexual Orientation</t>
  </si>
  <si>
    <t>Recruitment Strategies, Career Progression,  Leadership Development, Retention Strategies, Visibility &amp; Recognition</t>
  </si>
  <si>
    <t xml:space="preserve"> Targeted Grants</t>
  </si>
  <si>
    <t>https://strathprints.strath.ac.uk/91811/1/Reggiani-Gagnon-STEM-Equals-2021-Report.pdf</t>
  </si>
  <si>
    <t>Persistant inequalities, Evidence of good practice, Data and monitoring, Securing funding</t>
  </si>
  <si>
    <t>STEMM-Change</t>
  </si>
  <si>
    <t>https://www.stemm-change.co.uk/project-overview/</t>
  </si>
  <si>
    <t>Barrier Removal, Recruitment Strategies, Mentorship &amp; Sponsorship</t>
  </si>
  <si>
    <t>Let’s Be Clear About EDI: Conversation Guides/Aids from University of Nottingham</t>
  </si>
  <si>
    <t>https://www.nottingham.ac.uk/edi/edi-conversation-guides.aspx</t>
  </si>
  <si>
    <t>Social Inclusion Projects</t>
  </si>
  <si>
    <t>Social Inlcusion Group</t>
  </si>
  <si>
    <t>University of Warwick</t>
  </si>
  <si>
    <t>https://warwick.ac.uk/services/socialinclusion/projects/</t>
  </si>
  <si>
    <t xml:space="preserve"> Cultural Competency,  Systemic Change</t>
  </si>
  <si>
    <t>Diversity monitoring data</t>
  </si>
  <si>
    <t>Diversity Statistic</t>
  </si>
  <si>
    <t>Dignity At Work and Study Policy</t>
  </si>
  <si>
    <t xml:space="preserve">Cardiff University </t>
  </si>
  <si>
    <t>https://www.cardiff.ac.uk/public-information/policies-and-procedures/dignity-at-work-and-study</t>
  </si>
  <si>
    <t xml:space="preserve">Code Of Conduct </t>
  </si>
  <si>
    <t xml:space="preserve">Kings College London </t>
  </si>
  <si>
    <t>https://www.kcl.ac.uk/policyhub</t>
  </si>
  <si>
    <t>Preventing Bullying and Harassment in Research and Innovation</t>
  </si>
  <si>
    <t>How To Manage and Report Sexual Harassment in The Workplace</t>
  </si>
  <si>
    <t xml:space="preserve">Culture Shift </t>
  </si>
  <si>
    <t>https://insight.culture-shift.co.uk/workplace/how-to-manage-and-report-sexual-harassment-in-the-workplace</t>
  </si>
  <si>
    <t xml:space="preserve">Report And support </t>
  </si>
  <si>
    <t>The University of Manchester</t>
  </si>
  <si>
    <t>https://www.reportandsupport.manchester.ac.uk/</t>
  </si>
  <si>
    <t xml:space="preserve">Report + Support </t>
  </si>
  <si>
    <t>https://reportandsupport.nottingham.ac.uk/</t>
  </si>
  <si>
    <t>Tackling Racism and Racial Harassment: Directory of Initiatives at UK Universities</t>
  </si>
  <si>
    <t>Universities UK</t>
  </si>
  <si>
    <t>https://www.universitiesuk.ac.uk/what-we-do/policy-and-research/publications/tackling-racism-and-racial-harassment</t>
  </si>
  <si>
    <t>Pipeline Development, Diverse Leadership</t>
  </si>
  <si>
    <t>Majority Allies</t>
  </si>
  <si>
    <t xml:space="preserve">Royal Academy of Engineering </t>
  </si>
  <si>
    <t>https://raeng.org.uk/policy-and-resources/diversity-and-inclusion-research-and-resources/inclusive-cultures/majority-allies</t>
  </si>
  <si>
    <t xml:space="preserve"> Belonging Initiatives, Allyship &amp; Advocacy</t>
  </si>
  <si>
    <t>Concordat To Support the Career Development of Researchers</t>
  </si>
  <si>
    <t>Vitae</t>
  </si>
  <si>
    <t>https://www.vitae.ac.uk/policy/concordat</t>
  </si>
  <si>
    <t>Not specifically related to individual characteristics, or EDI</t>
  </si>
  <si>
    <t>Challenging Different Forms of Bias in EPS Research</t>
  </si>
  <si>
    <t>University of Birmingham</t>
  </si>
  <si>
    <t>https://gow.epsrc.ukri.org/NGBOViewGrant.aspx?GrantRef=EP/S011927/1</t>
  </si>
  <si>
    <t>Promoting EDI In University Spinout Companies</t>
  </si>
  <si>
    <t>Ideas Impact Hub</t>
  </si>
  <si>
    <t>Northern Accelerator</t>
  </si>
  <si>
    <t>https://northernaccelerator.org/ideas-impact-hub/</t>
  </si>
  <si>
    <t>Intervention for general audience</t>
  </si>
  <si>
    <t xml:space="preserve"> Career Development</t>
  </si>
  <si>
    <t>Guidance For Managing Fixed-Term Contracts</t>
  </si>
  <si>
    <t>https://www.kcl.ac.uk/policyhub/fixed-term-contracts-guidance</t>
  </si>
  <si>
    <t>Inclusive Cultures Toolkit</t>
  </si>
  <si>
    <t>Royal Academy of Engineering</t>
  </si>
  <si>
    <t>https://raeng.org.uk/policy-and-resources/diversity-and-inclusion-research-and-resources/inclusive-cultures/inclusive-cultures-toolkit</t>
  </si>
  <si>
    <t xml:space="preserve"> Career Progression, Recruitment Strategies, Mentorship &amp; Sponsorship, Diverse Leadership</t>
  </si>
  <si>
    <t>Diverse Representation, Policy Review &amp; Reform, Employee Resource Groups, Cultural Competency</t>
  </si>
  <si>
    <t>Research Fellowships</t>
  </si>
  <si>
    <t>https://www.raeng.org.uk/grants-prizes/grants/support-for-research/raeng-research-fellowship?dm_i=4S2P,JECP,24GQFK,2B8EM,1</t>
  </si>
  <si>
    <t xml:space="preserve"> Application Support, Securing Funding</t>
  </si>
  <si>
    <t>Research Chairs and Senior Research Fellowship</t>
  </si>
  <si>
    <t>https://www.raeng.org.uk/grants-prizes/grants/support-for-research/research-chairs?dm_i</t>
  </si>
  <si>
    <t>Mentoring And Political Education Programme</t>
  </si>
  <si>
    <t>Fabian Women’s Network</t>
  </si>
  <si>
    <t>https://www.fabianwomen.org.uk/mentoring</t>
  </si>
  <si>
    <t xml:space="preserve"> Mentorship &amp; Sponsorship, Career Progression</t>
  </si>
  <si>
    <t>Monitoring, Survey, Focus Group</t>
  </si>
  <si>
    <t xml:space="preserve">Future Leaders Fellows Development Network - Mentorship Programme </t>
  </si>
  <si>
    <t xml:space="preserve">UKRI </t>
  </si>
  <si>
    <t>https://www.flfdevnet.com/mentoring/</t>
  </si>
  <si>
    <t xml:space="preserve"> Leadership Development,  Mentorship &amp; Sponsorship</t>
  </si>
  <si>
    <t>Early Career Mentoring Programme</t>
  </si>
  <si>
    <t>Connected Everything Network</t>
  </si>
  <si>
    <t>https://connectedeverything.ac.uk/early-career-mentoring-programme/</t>
  </si>
  <si>
    <t xml:space="preserve"> Mentorship &amp; Sponsorship</t>
  </si>
  <si>
    <t>Reverse Mentoring</t>
  </si>
  <si>
    <t>https://www.stemm-change.co.uk/home/reverse-mentoring/</t>
  </si>
  <si>
    <t xml:space="preserve"> Mentorship &amp; Sponsorship, Diverse Leadership</t>
  </si>
  <si>
    <t>The VisNet Project</t>
  </si>
  <si>
    <t>Caroline Gaucotte-Lindsay, Helen Mulvana</t>
  </si>
  <si>
    <t>University of Glasgow</t>
  </si>
  <si>
    <t>https://www.gla.ac.uk/colleges/scienceengineering/research/visnet/</t>
  </si>
  <si>
    <t>Barrier Removal, Professional Development, Network Development</t>
  </si>
  <si>
    <t>Informal feedback</t>
  </si>
  <si>
    <t xml:space="preserve">Peer mentoring impact </t>
  </si>
  <si>
    <t>Toolkit For Integrating Gender-Sensitive Approach into Research and Teaching</t>
  </si>
  <si>
    <t>Garcia</t>
  </si>
  <si>
    <t>https://eige.europa.eu/sites/default/files/garcia_toolkit_gender_research_teaching.pdf</t>
  </si>
  <si>
    <t>Research Design, Systemic Change</t>
  </si>
  <si>
    <t>The Concordat to Support Research Integrity</t>
  </si>
  <si>
    <t>https://www.universitiesuk.ac.uk/topics/research-and-innovation/concordat-research-integrity</t>
  </si>
  <si>
    <t xml:space="preserve">General academic integrity </t>
  </si>
  <si>
    <t>Inclusive Design Toolkit</t>
  </si>
  <si>
    <t>University of Cambridge</t>
  </si>
  <si>
    <t>http://www.inclusivedesigntoolkit.com/</t>
  </si>
  <si>
    <t>Inclusion Is Designing the Future</t>
  </si>
  <si>
    <t>Invision article</t>
  </si>
  <si>
    <t>https://www.invisionapp.com/inside-design/inclusion-designing-future/</t>
  </si>
  <si>
    <t>General third party tool for design products</t>
  </si>
  <si>
    <t>6 Principles for Inclusive Design</t>
  </si>
  <si>
    <t>Lillian Xiao</t>
  </si>
  <si>
    <t>UX Planet</t>
  </si>
  <si>
    <t>https://uxplanet.org/6-principles-for-inclusive-design-3e9867f7f63e</t>
  </si>
  <si>
    <t>Best Practices in Equity, Diversity and Inclusion in Research</t>
  </si>
  <si>
    <t>Government of Canada</t>
  </si>
  <si>
    <t>https://www.sshrc-crsh.gc.ca/funding-financement/nfrf-fnfr/edi-eng.aspx#5</t>
  </si>
  <si>
    <t>Recruitment Strategies, Professional Development,  Barrier Removal</t>
  </si>
  <si>
    <t>Research Design, Systemic Change, Diverse Representation</t>
  </si>
  <si>
    <t>How To Include Indigenous Researchers and Their Knowledge</t>
  </si>
  <si>
    <t>https://www.nature.com/articles/d41586-021-00022-1</t>
  </si>
  <si>
    <t>Personal stories to raise awareness but does not provide actionable points</t>
  </si>
  <si>
    <t>Gendered Innovations</t>
  </si>
  <si>
    <t>Gendered Innovation</t>
  </si>
  <si>
    <t>http://genderedinnovations.stanford.edu/what-is-gendered-innovations.html</t>
  </si>
  <si>
    <t>Research Design, Policy Review &amp; Reform</t>
  </si>
  <si>
    <t>Top Tips on Inclusive Teaching</t>
  </si>
  <si>
    <t>Institute of Physics</t>
  </si>
  <si>
    <t>https://www.iop.org/sites/default/files/2019-07/IGB-10-tips-whole-school-poster.pdf</t>
  </si>
  <si>
    <t>Introduction To Web Accessibility</t>
  </si>
  <si>
    <t xml:space="preserve">Web Accessibility Initiative </t>
  </si>
  <si>
    <t>https://www.w3.org/WAI/fundamentals/accessibility-intro/#what</t>
  </si>
  <si>
    <t>Recognising Authors (CRediT)</t>
  </si>
  <si>
    <t>http://eprints.gla.ac.uk/201273/1/201273.pdf</t>
  </si>
  <si>
    <t>RAI EDI Toolkit</t>
  </si>
  <si>
    <t>Responsible AI UK</t>
  </si>
  <si>
    <t>https://rai.ac.uk/toolkits/edi-toolkit/</t>
  </si>
  <si>
    <t>Diverse Representation, Work-Life Balance, Policy Review &amp; Reform, Systemic change,Accessible &amp; Inclusive Workspaces, Adaptive research enviroments, Systemic Change</t>
  </si>
  <si>
    <t>Tackling Racial Harassment in Higher Education</t>
  </si>
  <si>
    <t>https://www.universitiesuk.ac.uk/what-we-do/policy-and-research/publications/tackling-racial-harassment-higher</t>
  </si>
  <si>
    <t>Promoting Equality, Diversity and Inclusion in Research and Funding: Reflections from A Digital Manufacturing Research Network</t>
  </si>
  <si>
    <t xml:space="preserve">Oliver J. Fisher, Debra Fearnshaw, Nicholas J. Watson, Peter Green, Fiona Charnley, Duncan McFarlane &amp; Sarah Sharples </t>
  </si>
  <si>
    <t>Research Integrity and Peer Review </t>
  </si>
  <si>
    <t>https://link.springer.com/article/10.1186/s41073-024-00144-w</t>
  </si>
  <si>
    <t>Sex, Caring Responsiblities, Race, Career Stage, Disability</t>
  </si>
  <si>
    <t xml:space="preserve"> Equitable Opportunities</t>
  </si>
  <si>
    <t>Panel Diversity, Bias Mitigation, Resource Allocation, Application Processes</t>
  </si>
  <si>
    <t>Anti-discrimination measures, Accessible &amp; Inclusive Workspaces, Diverse Representation</t>
  </si>
  <si>
    <t>Funding Allocation, Diversity Statistics, Engagement statistics</t>
  </si>
  <si>
    <t>Gathering Good Practices For Inclusive University Selection Processes</t>
  </si>
  <si>
    <t>https://www.ukri.org/wp-content/uploads/2025/06/EPSRC-200625-GatheringGoodPracticesInclusiveUniversitySelectionProcesses.pdf</t>
  </si>
  <si>
    <t>Bias Mitigation, Panel Diversity, Application Support, Peer Review, Eligiblity Criteria, Addressing Structural Inequality, Advertising Approach, Application Processes</t>
  </si>
  <si>
    <t>EDICA - Evidence Review: Peer Review Bias in The Funding Process: Main Themes and Interventions</t>
  </si>
  <si>
    <t>Stefanie Schneider, Cat Morgan, Clayton Magill, Marion Hersh, Katherine Sang, Robert MacIntosh</t>
  </si>
  <si>
    <t>EDICa</t>
  </si>
  <si>
    <t>https://researchportal.hw.ac.uk/en/publications/evidence-review-peer-review-bias-in-the-funding-process-main-them</t>
  </si>
  <si>
    <t>Sex, Race, Sexual Orientation, Trans Identity, Caring Responsiblities, Disability</t>
  </si>
  <si>
    <t>Bias Mitigation, Eligiblity Criteria, Bias Mitigation, Eligiblity Criteria, Peer Review, Application Processes</t>
  </si>
  <si>
    <t>Lab Access Guidelines</t>
  </si>
  <si>
    <t>Access All Areas in Labs team</t>
  </si>
  <si>
    <t>University of East Anglia</t>
  </si>
  <si>
    <t>https://www.uea.ac.uk/groups-and-centres/projects/access-all-areas-in-labs/access-guidelines</t>
  </si>
  <si>
    <t>Northern Power Inclusion Matters Toolkit</t>
  </si>
  <si>
    <t>Caroline Ackroyd, Robert Adams, Rachel Archbold, Colin Bain, David Broad, Helen Cramman, Vania Dimitrova, Simon Gardiner, Helene Gray, Jill Green, John Holmes, Louise Jones, Sharron Kuznesof, Sabiha Patel, Roger Penlington, Judith Rankin, Steve Sctott, Nadia Siddiqui, Sharon Stewart, Jenna Tudor, Julie Wilson</t>
  </si>
  <si>
    <t>https://collections.durham.ac.uk/files/r1gf06g267h</t>
  </si>
  <si>
    <t>Mentorship &amp; Sponsorship, Equitable Opportunities, Networking &amp; Collaboration</t>
  </si>
  <si>
    <t>Towards A Fully Inclusive Environment for Disabled People In STEMM: A NADSN White Paper</t>
  </si>
  <si>
    <t>Gayle Brewer, Yota Dimitriadi, Francesca Doddato, Hamied A. Haroon, Jasleen K. Jolly, Jennifer S. Leigh, Martyn Mahaut-Smith, Jennifer Remnant, Julia P. Sarju</t>
  </si>
  <si>
    <t>https://www.nadsn-uk.org/wp-content/uploads/2025/04/NADSN_STEMM_White_Paper_090425-v0.3.pdf</t>
  </si>
  <si>
    <t>Count</t>
  </si>
  <si>
    <t>EDI Intervention Readiness</t>
  </si>
  <si>
    <t>Grand Total</t>
  </si>
  <si>
    <t xml:space="preserve">Information </t>
  </si>
  <si>
    <t>Updating Taxonomy Options</t>
  </si>
  <si>
    <r>
      <t xml:space="preserve">Add to the tab </t>
    </r>
    <r>
      <rPr>
        <i/>
        <sz val="11"/>
        <color rgb="FF000000"/>
        <rFont val="Aptos Narrow"/>
        <family val="2"/>
      </rPr>
      <t>"4_Taxonomy_Options</t>
    </r>
    <r>
      <rPr>
        <sz val="11"/>
        <color rgb="FF000000"/>
        <rFont val="Aptos Narrow"/>
        <family val="2"/>
      </rPr>
      <t>" under the correct column. Ensure that the data validation for dropdown options on "</t>
    </r>
    <r>
      <rPr>
        <i/>
        <sz val="11"/>
        <color rgb="FF000000"/>
        <rFont val="Aptos Narrow"/>
        <family val="2"/>
      </rPr>
      <t>5_Resources_full_data"</t>
    </r>
    <r>
      <rPr>
        <sz val="11"/>
        <color rgb="FF000000"/>
        <rFont val="Aptos Narrow"/>
        <family val="2"/>
      </rPr>
      <t xml:space="preserve"> captures the new options. The values in these columns populates the dropdown options (data validation) in the tab </t>
    </r>
    <r>
      <rPr>
        <i/>
        <sz val="11"/>
        <color rgb="FF000000"/>
        <rFont val="Aptos Narrow"/>
        <family val="2"/>
      </rPr>
      <t>"5_Resources_full_data".</t>
    </r>
  </si>
  <si>
    <t>New single select columns</t>
  </si>
  <si>
    <r>
      <t>Add data validation to the cells in the column.</t>
    </r>
    <r>
      <rPr>
        <i/>
        <sz val="11"/>
        <color rgb="FF000000"/>
        <rFont val="Aptos Narrow"/>
        <family val="2"/>
      </rPr>
      <t xml:space="preserve"> </t>
    </r>
    <r>
      <rPr>
        <b/>
        <i/>
        <sz val="11"/>
        <color rgb="FF000000"/>
        <rFont val="Aptos Narrow"/>
        <family val="2"/>
      </rPr>
      <t>Data</t>
    </r>
    <r>
      <rPr>
        <i/>
        <sz val="11"/>
        <color rgb="FF000000"/>
        <rFont val="Aptos Narrow"/>
        <family val="2"/>
      </rPr>
      <t xml:space="preserve">&gt; </t>
    </r>
    <r>
      <rPr>
        <b/>
        <i/>
        <sz val="11"/>
        <color rgb="FF000000"/>
        <rFont val="Aptos Narrow"/>
        <family val="2"/>
      </rPr>
      <t xml:space="preserve">Data Validation </t>
    </r>
    <r>
      <rPr>
        <i/>
        <sz val="11"/>
        <color rgb="FF000000"/>
        <rFont val="Aptos Narrow"/>
        <family val="2"/>
      </rPr>
      <t xml:space="preserve">&gt; Allow: List, Source: &lt;relevant cells from the tab "4_Taxonomy Options"&gt; &gt; </t>
    </r>
    <r>
      <rPr>
        <b/>
        <i/>
        <sz val="11"/>
        <color rgb="FF000000"/>
        <rFont val="Aptos Narrow"/>
        <family val="2"/>
      </rPr>
      <t>OK</t>
    </r>
    <r>
      <rPr>
        <i/>
        <sz val="11"/>
        <color rgb="FF000000"/>
        <rFont val="Aptos Narrow"/>
        <family val="2"/>
      </rPr>
      <t>.</t>
    </r>
  </si>
  <si>
    <t>New multi select columns</t>
  </si>
  <si>
    <r>
      <t xml:space="preserve">To include additional columns with multi-select options, add data validation to the cells in the column. </t>
    </r>
    <r>
      <rPr>
        <b/>
        <i/>
        <sz val="11"/>
        <color rgb="FF000000"/>
        <rFont val="Aptos Narrow"/>
        <family val="2"/>
      </rPr>
      <t>Data</t>
    </r>
    <r>
      <rPr>
        <sz val="11"/>
        <color rgb="FF000000"/>
        <rFont val="Aptos Narrow"/>
        <family val="2"/>
      </rPr>
      <t>&gt;</t>
    </r>
    <r>
      <rPr>
        <b/>
        <i/>
        <sz val="11"/>
        <color rgb="FF000000"/>
        <rFont val="Aptos Narrow"/>
        <family val="2"/>
      </rPr>
      <t xml:space="preserve"> Data Validation</t>
    </r>
    <r>
      <rPr>
        <sz val="11"/>
        <color rgb="FF000000"/>
        <rFont val="Aptos Narrow"/>
        <family val="2"/>
      </rPr>
      <t xml:space="preserve"> &gt; A</t>
    </r>
    <r>
      <rPr>
        <i/>
        <sz val="11"/>
        <color rgb="FF000000"/>
        <rFont val="Aptos Narrow"/>
        <family val="2"/>
      </rPr>
      <t xml:space="preserve">llow: List, Source: &lt;relevant cells from the tab "4_Taxonomy Options"&gt; &gt; </t>
    </r>
    <r>
      <rPr>
        <b/>
        <i/>
        <sz val="11"/>
        <color rgb="FF000000"/>
        <rFont val="Aptos Narrow"/>
        <family val="2"/>
      </rPr>
      <t>OK</t>
    </r>
    <r>
      <rPr>
        <i/>
        <sz val="11"/>
        <color rgb="FF000000"/>
        <rFont val="Aptos Narrow"/>
        <family val="2"/>
      </rPr>
      <t>.</t>
    </r>
    <r>
      <rPr>
        <sz val="11"/>
        <color rgb="FF000000"/>
        <rFont val="Aptos Narrow"/>
        <family val="2"/>
      </rPr>
      <t xml:space="preserve">
Press Alt+F11 to open the macros for this spreadsheet. In the code window, update the line
If Not Intersect(Target, Me.Range("V2:Y500"))
to include the additional columns. </t>
    </r>
  </si>
  <si>
    <t xml:space="preserve">New data source for PowerApps. </t>
  </si>
  <si>
    <t>For new tables used that will be used in PowerApps, it is good practice to update the name to the table to s user friendly names as this is how it is cross-referenced in other Microsoft apps. To do this, select anywhere in the table, click the "Table Design". On the left in "Properties" change the Table name.</t>
  </si>
  <si>
    <t>#</t>
  </si>
  <si>
    <t>Organisation/Publisher</t>
  </si>
  <si>
    <t>Equity, Diversity and Inclusion Strategy 2023-2026</t>
  </si>
  <si>
    <t>Career Development Institute</t>
  </si>
  <si>
    <t>https://www.thecdi.net/CDI/media/Write/About%20us/EDI-Strategy-brochure-v3.pdf</t>
  </si>
  <si>
    <t>Equity and Inclusivity in Research Funding Barriers and Delivering Change</t>
  </si>
  <si>
    <t xml:space="preserve"> Gladstoneet al. </t>
  </si>
  <si>
    <t>University of Oxford</t>
  </si>
  <si>
    <t>https://researchsupport.admin.ox.ac.uk/files/equityandinclusivityinresearchfundingpdf</t>
  </si>
  <si>
    <t>EPSRC Expectations for Equality, Diversity and Inclusion</t>
  </si>
  <si>
    <t>https://www.ukri.org/wp-content/uploads/2022/03/EPSRC-240322-EPSRC-EDI-ExpectationsTable-FullVersion.pdf</t>
  </si>
  <si>
    <t>EDI in the Workplace, Inclusive Design Framework: EDI in the Workplace Actions and Implementations</t>
  </si>
  <si>
    <t xml:space="preserve"> Grimaldi, S. et al (2024),</t>
  </si>
  <si>
    <t xml:space="preserve"> University of the Arts London. </t>
  </si>
  <si>
    <t>https://ualresearchonline.arts.ac.uk/id/eprint/21931/11/Grimaldi%20et%20al%202024%20EDI%20in%20the%20Workplace%20Framework%20.pdf</t>
  </si>
  <si>
    <t>Equality, diversity and inclusion in research and innovation: UK review</t>
  </si>
  <si>
    <t>Dr Kevin Guyan and Freya Douglas Oloyede</t>
  </si>
  <si>
    <t>Advance HE, for UK Research and Innovation</t>
  </si>
  <si>
    <t>https://www.ukri.org/wp-content/uploads/2020/10/UKRI-020920-EDI-EvidenceReviewUK.pdf</t>
  </si>
  <si>
    <t>Equality, diversity and inclusion in research and innovation: UK review, Chapter 6: Measuring success</t>
  </si>
  <si>
    <t>DigitalDocument</t>
  </si>
  <si>
    <t>Schema.org</t>
  </si>
  <si>
    <t>https://schema.org/DigitalDocument</t>
  </si>
  <si>
    <t>Nottingham EDI cards</t>
  </si>
  <si>
    <t xml:space="preserve">Univeristy of Nottingham </t>
  </si>
  <si>
    <t>https://cardographer.cs.nott.ac.uk/sessions/63fc86fa6248425d4567a33a/cards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</si>
</sst>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9]dd\ mmmm\ yyyy;@"/>
  </numFmts>
  <fonts count="35" x14ac:knownFonts="1">
    <font>
      <sz val="11"/>
      <color theme="1"/>
      <name val="Aptos Narrow"/>
      <family val="2"/>
      <scheme val="minor"/>
    </font>
    <font>
      <b/>
      <sz val="11"/>
      <color theme="1"/>
      <name val="Aptos Narrow"/>
      <family val="2"/>
      <scheme val="minor"/>
    </font>
    <font>
      <u/>
      <sz val="11"/>
      <color theme="10"/>
      <name val="Aptos Narrow"/>
      <family val="2"/>
      <scheme val="minor"/>
    </font>
    <font>
      <sz val="12"/>
      <color rgb="FF000000"/>
      <name val="Arial"/>
      <family val="2"/>
    </font>
    <font>
      <sz val="8"/>
      <name val="Aptos Narrow"/>
      <family val="2"/>
      <scheme val="minor"/>
    </font>
    <font>
      <sz val="11"/>
      <color rgb="FF000000"/>
      <name val="Arial"/>
      <family val="2"/>
    </font>
    <font>
      <sz val="11"/>
      <color rgb="FF006100"/>
      <name val="Aptos Narrow"/>
      <family val="2"/>
      <scheme val="minor"/>
    </font>
    <font>
      <b/>
      <sz val="12"/>
      <color rgb="FF2F5597"/>
      <name val="Arial"/>
      <family val="2"/>
    </font>
    <font>
      <b/>
      <sz val="12"/>
      <color rgb="FF000000"/>
      <name val="Calibri"/>
      <family val="2"/>
    </font>
    <font>
      <b/>
      <sz val="14"/>
      <color theme="1"/>
      <name val="Aptos Narrow"/>
      <family val="2"/>
      <scheme val="minor"/>
    </font>
    <font>
      <sz val="12"/>
      <color theme="1"/>
      <name val="Arial"/>
      <family val="2"/>
    </font>
    <font>
      <sz val="22"/>
      <color theme="1"/>
      <name val="Aptos Narrow"/>
      <family val="2"/>
      <scheme val="minor"/>
    </font>
    <font>
      <sz val="11"/>
      <color rgb="FF9C0006"/>
      <name val="Aptos Narrow"/>
      <family val="2"/>
      <scheme val="minor"/>
    </font>
    <font>
      <sz val="12"/>
      <color theme="1"/>
      <name val="Aptos Narrow"/>
      <family val="2"/>
      <scheme val="minor"/>
    </font>
    <font>
      <b/>
      <sz val="11"/>
      <color theme="0"/>
      <name val="Aptos Narrow"/>
      <family val="2"/>
      <scheme val="minor"/>
    </font>
    <font>
      <b/>
      <sz val="12"/>
      <color theme="1"/>
      <name val="Aptos Narrow"/>
      <family val="2"/>
      <scheme val="minor"/>
    </font>
    <font>
      <i/>
      <sz val="11"/>
      <color rgb="FF9C0006"/>
      <name val="Aptos Narrow"/>
      <family val="2"/>
      <scheme val="minor"/>
    </font>
    <font>
      <i/>
      <sz val="11"/>
      <color theme="1"/>
      <name val="Aptos Narrow"/>
      <family val="2"/>
      <scheme val="minor"/>
    </font>
    <font>
      <sz val="11"/>
      <color rgb="FF505050"/>
      <name val="Roboto"/>
    </font>
    <font>
      <u/>
      <sz val="11"/>
      <color rgb="FF000000"/>
      <name val="Aptos Narrow"/>
      <family val="2"/>
      <scheme val="minor"/>
    </font>
    <font>
      <sz val="11"/>
      <color rgb="FF000000"/>
      <name val="Aptos Narrow"/>
      <family val="2"/>
      <scheme val="minor"/>
    </font>
    <font>
      <u/>
      <sz val="11"/>
      <color theme="1"/>
      <name val="Aptos Narrow"/>
      <family val="2"/>
      <scheme val="minor"/>
    </font>
    <font>
      <b/>
      <sz val="12"/>
      <color theme="0"/>
      <name val="Aptos Narrow"/>
      <family val="2"/>
      <scheme val="minor"/>
    </font>
    <font>
      <sz val="11"/>
      <color theme="1"/>
      <name val="Segoe UI"/>
      <family val="2"/>
    </font>
    <font>
      <b/>
      <i/>
      <sz val="11"/>
      <color theme="1"/>
      <name val="Aptos Narrow"/>
      <family val="2"/>
      <scheme val="minor"/>
    </font>
    <font>
      <sz val="14"/>
      <color theme="1"/>
      <name val="Aptos Narrow"/>
      <family val="2"/>
      <scheme val="minor"/>
    </font>
    <font>
      <b/>
      <sz val="14"/>
      <color theme="8"/>
      <name val="Aptos Narrow"/>
      <family val="2"/>
      <scheme val="minor"/>
    </font>
    <font>
      <sz val="11"/>
      <color theme="1"/>
      <name val="Calibri"/>
      <family val="2"/>
    </font>
    <font>
      <sz val="11"/>
      <color rgb="FF000000"/>
      <name val="Aptos Narrow"/>
      <family val="2"/>
    </font>
    <font>
      <i/>
      <sz val="11"/>
      <color rgb="FF000000"/>
      <name val="Aptos Narrow"/>
      <family val="2"/>
    </font>
    <font>
      <b/>
      <i/>
      <sz val="11"/>
      <color rgb="FF000000"/>
      <name val="Aptos Narrow"/>
      <family val="2"/>
    </font>
    <font>
      <b/>
      <sz val="11"/>
      <color rgb="FF000000"/>
      <name val="Aptos Narrow"/>
      <family val="2"/>
    </font>
    <font>
      <b/>
      <u/>
      <sz val="11"/>
      <color theme="0"/>
      <name val="Aptos Narrow"/>
      <family val="2"/>
      <scheme val="minor"/>
    </font>
    <font>
      <b/>
      <sz val="16"/>
      <color theme="1"/>
      <name val="Aptos Narrow"/>
      <family val="2"/>
      <scheme val="minor"/>
    </font>
    <font>
      <b/>
      <sz val="11"/>
      <color theme="1"/>
      <name val="Aptos Narrow"/>
      <family val="2"/>
    </font>
  </fonts>
  <fills count="17">
    <fill>
      <patternFill patternType="none"/>
    </fill>
    <fill>
      <patternFill patternType="gray125"/>
    </fill>
    <fill>
      <patternFill patternType="solid">
        <fgColor rgb="FFC6EFCE"/>
      </patternFill>
    </fill>
    <fill>
      <patternFill patternType="solid">
        <fgColor rgb="FF92D050"/>
        <bgColor indexed="64"/>
      </patternFill>
    </fill>
    <fill>
      <patternFill patternType="solid">
        <fgColor theme="5" tint="0.39997558519241921"/>
        <bgColor indexed="64"/>
      </patternFill>
    </fill>
    <fill>
      <patternFill patternType="solid">
        <fgColor rgb="FFFFC7CE"/>
      </patternFill>
    </fill>
    <fill>
      <patternFill patternType="solid">
        <fgColor theme="0" tint="-0.14999847407452621"/>
        <bgColor theme="0" tint="-0.14999847407452621"/>
      </patternFill>
    </fill>
    <fill>
      <patternFill patternType="solid">
        <fgColor theme="4"/>
        <bgColor theme="4"/>
      </patternFill>
    </fill>
    <fill>
      <patternFill patternType="solid">
        <fgColor rgb="FFFFFFFF"/>
        <bgColor indexed="64"/>
      </patternFill>
    </fill>
    <fill>
      <patternFill patternType="solid">
        <fgColor theme="4"/>
        <bgColor indexed="64"/>
      </patternFill>
    </fill>
    <fill>
      <patternFill patternType="solid">
        <fgColor theme="7"/>
        <bgColor indexed="64"/>
      </patternFill>
    </fill>
    <fill>
      <patternFill patternType="solid">
        <fgColor theme="8"/>
        <bgColor indexed="64"/>
      </patternFill>
    </fill>
    <fill>
      <patternFill patternType="solid">
        <fgColor rgb="FFD9D9D9"/>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6" tint="0.59999389629810485"/>
        <bgColor indexed="64"/>
      </patternFill>
    </fill>
  </fills>
  <borders count="11">
    <border>
      <left/>
      <right/>
      <top/>
      <bottom/>
      <diagonal/>
    </border>
    <border>
      <left/>
      <right style="thin">
        <color theme="3"/>
      </right>
      <top/>
      <bottom/>
      <diagonal/>
    </border>
    <border>
      <left/>
      <right/>
      <top style="medium">
        <color rgb="FF000000"/>
      </top>
      <bottom style="medium">
        <color rgb="FF000000"/>
      </bottom>
      <diagonal/>
    </border>
    <border>
      <left/>
      <right/>
      <top style="medium">
        <color rgb="FF000000"/>
      </top>
      <bottom/>
      <diagonal/>
    </border>
    <border>
      <left/>
      <right/>
      <top style="medium">
        <color theme="1"/>
      </top>
      <bottom style="medium">
        <color theme="1"/>
      </bottom>
      <diagonal/>
    </border>
    <border>
      <left/>
      <right/>
      <top/>
      <bottom style="medium">
        <color theme="1"/>
      </bottom>
      <diagonal/>
    </border>
    <border>
      <left/>
      <right style="thin">
        <color theme="3"/>
      </right>
      <top/>
      <bottom style="medium">
        <color theme="1"/>
      </bottom>
      <diagonal/>
    </border>
    <border>
      <left/>
      <right style="medium">
        <color rgb="FF0E2841"/>
      </right>
      <top/>
      <bottom/>
      <diagonal/>
    </border>
    <border>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s>
  <cellStyleXfs count="4">
    <xf numFmtId="0" fontId="0" fillId="0" borderId="0"/>
    <xf numFmtId="0" fontId="2" fillId="0" borderId="0" applyNumberFormat="0" applyFill="0" applyBorder="0" applyAlignment="0" applyProtection="0"/>
    <xf numFmtId="0" fontId="6" fillId="2" borderId="0" applyNumberFormat="0" applyBorder="0" applyAlignment="0" applyProtection="0"/>
    <xf numFmtId="0" fontId="12" fillId="5" borderId="0" applyNumberFormat="0" applyBorder="0" applyAlignment="0" applyProtection="0"/>
  </cellStyleXfs>
  <cellXfs count="93">
    <xf numFmtId="0" fontId="0" fillId="0" borderId="0" xfId="0"/>
    <xf numFmtId="0" fontId="1" fillId="0" borderId="0" xfId="0" applyFont="1"/>
    <xf numFmtId="0" fontId="1" fillId="0" borderId="0" xfId="0" applyFont="1" applyAlignment="1">
      <alignment wrapText="1"/>
    </xf>
    <xf numFmtId="0" fontId="0" fillId="0" borderId="0" xfId="0" applyAlignment="1">
      <alignment wrapText="1"/>
    </xf>
    <xf numFmtId="0" fontId="1" fillId="0" borderId="0" xfId="0" applyFont="1" applyAlignment="1">
      <alignment vertical="top" wrapText="1"/>
    </xf>
    <xf numFmtId="0" fontId="0" fillId="0" borderId="0" xfId="0" applyAlignment="1">
      <alignment vertical="top" wrapText="1"/>
    </xf>
    <xf numFmtId="0" fontId="1" fillId="0" borderId="0" xfId="0" applyFont="1" applyAlignment="1">
      <alignment vertical="top"/>
    </xf>
    <xf numFmtId="0" fontId="0" fillId="0" borderId="0" xfId="0" applyAlignment="1">
      <alignment horizontal="right" vertical="top"/>
    </xf>
    <xf numFmtId="0" fontId="2" fillId="0" borderId="0" xfId="1" applyAlignment="1">
      <alignment horizontal="right" vertical="top"/>
    </xf>
    <xf numFmtId="0" fontId="0" fillId="0" borderId="0" xfId="0" applyAlignment="1">
      <alignment vertical="top"/>
    </xf>
    <xf numFmtId="0" fontId="1" fillId="0" borderId="1" xfId="0" applyFont="1" applyBorder="1" applyAlignment="1">
      <alignment wrapText="1"/>
    </xf>
    <xf numFmtId="0" fontId="3" fillId="0" borderId="3" xfId="0" applyFont="1" applyBorder="1" applyAlignment="1">
      <alignment horizontal="left" vertical="center" wrapText="1" readingOrder="1"/>
    </xf>
    <xf numFmtId="0" fontId="7" fillId="0" borderId="2" xfId="0" applyFont="1" applyBorder="1" applyAlignment="1">
      <alignment horizontal="center" vertical="center" wrapText="1" readingOrder="1"/>
    </xf>
    <xf numFmtId="0" fontId="9" fillId="0" borderId="0" xfId="0" applyFont="1"/>
    <xf numFmtId="0" fontId="10" fillId="0" borderId="3" xfId="0" applyFont="1" applyBorder="1" applyAlignment="1">
      <alignment horizontal="left" vertical="center" wrapText="1" readingOrder="1"/>
    </xf>
    <xf numFmtId="0" fontId="16" fillId="5" borderId="0" xfId="3" applyFont="1"/>
    <xf numFmtId="0" fontId="18" fillId="8" borderId="0" xfId="0" applyFont="1" applyFill="1" applyAlignment="1">
      <alignment wrapText="1"/>
    </xf>
    <xf numFmtId="0" fontId="20" fillId="0" borderId="0" xfId="0" applyFont="1" applyAlignment="1">
      <alignment vertical="top" wrapText="1"/>
    </xf>
    <xf numFmtId="0" fontId="16" fillId="5" borderId="0" xfId="3" applyFont="1" applyAlignment="1">
      <alignment wrapText="1"/>
    </xf>
    <xf numFmtId="0" fontId="17" fillId="0" borderId="0" xfId="0" applyFont="1" applyAlignment="1">
      <alignment vertical="top" wrapText="1"/>
    </xf>
    <xf numFmtId="0" fontId="2" fillId="0" borderId="0" xfId="1" applyAlignment="1">
      <alignment wrapText="1"/>
    </xf>
    <xf numFmtId="164" fontId="0" fillId="0" borderId="0" xfId="0" applyNumberFormat="1" applyAlignment="1">
      <alignment wrapText="1"/>
    </xf>
    <xf numFmtId="17" fontId="0" fillId="0" borderId="0" xfId="0" applyNumberFormat="1" applyAlignment="1">
      <alignment wrapText="1"/>
    </xf>
    <xf numFmtId="0" fontId="6" fillId="2" borderId="0" xfId="2" applyAlignment="1">
      <alignment wrapText="1"/>
    </xf>
    <xf numFmtId="0" fontId="2" fillId="0" borderId="0" xfId="1" applyBorder="1" applyAlignment="1">
      <alignment wrapText="1"/>
    </xf>
    <xf numFmtId="0" fontId="13" fillId="0" borderId="0" xfId="0" applyFont="1" applyAlignment="1">
      <alignment vertical="top"/>
    </xf>
    <xf numFmtId="0" fontId="14" fillId="7" borderId="4" xfId="0" applyFont="1" applyFill="1" applyBorder="1" applyAlignment="1">
      <alignment wrapText="1"/>
    </xf>
    <xf numFmtId="0" fontId="22" fillId="7" borderId="4" xfId="0" applyFont="1" applyFill="1" applyBorder="1" applyAlignment="1">
      <alignment vertical="top" wrapText="1"/>
    </xf>
    <xf numFmtId="0" fontId="14" fillId="7" borderId="4" xfId="0" applyFont="1" applyFill="1" applyBorder="1" applyAlignment="1">
      <alignment vertical="top" wrapText="1"/>
    </xf>
    <xf numFmtId="0" fontId="14" fillId="7" borderId="0" xfId="0" applyFont="1" applyFill="1"/>
    <xf numFmtId="0" fontId="15" fillId="6" borderId="1" xfId="0" applyFont="1" applyFill="1" applyBorder="1" applyAlignment="1">
      <alignment vertical="top" wrapText="1"/>
    </xf>
    <xf numFmtId="0" fontId="23" fillId="0" borderId="0" xfId="0" applyFont="1" applyAlignment="1">
      <alignment wrapText="1"/>
    </xf>
    <xf numFmtId="0" fontId="2" fillId="6" borderId="0" xfId="1" applyFill="1" applyAlignment="1">
      <alignment vertical="top" wrapText="1"/>
    </xf>
    <xf numFmtId="0" fontId="15" fillId="0" borderId="0" xfId="0" applyFont="1" applyAlignment="1">
      <alignment vertical="top" wrapText="1"/>
    </xf>
    <xf numFmtId="0" fontId="2" fillId="0" borderId="0" xfId="1" applyAlignment="1">
      <alignment vertical="top" wrapText="1"/>
    </xf>
    <xf numFmtId="0" fontId="15" fillId="0" borderId="1" xfId="0" applyFont="1" applyBorder="1" applyAlignment="1">
      <alignment vertical="top" wrapText="1"/>
    </xf>
    <xf numFmtId="0" fontId="14" fillId="7" borderId="5" xfId="0" applyFont="1" applyFill="1" applyBorder="1"/>
    <xf numFmtId="0" fontId="15" fillId="0" borderId="6" xfId="0" applyFont="1" applyBorder="1" applyAlignment="1">
      <alignment vertical="top" wrapText="1"/>
    </xf>
    <xf numFmtId="0" fontId="2" fillId="0" borderId="5" xfId="1" applyBorder="1" applyAlignment="1">
      <alignment vertical="top" wrapText="1"/>
    </xf>
    <xf numFmtId="0" fontId="2" fillId="0" borderId="0" xfId="1" quotePrefix="1" applyAlignment="1">
      <alignment wrapText="1"/>
    </xf>
    <xf numFmtId="0" fontId="0" fillId="0" borderId="0" xfId="0" applyAlignment="1">
      <alignment horizontal="right" vertical="top" wrapText="1"/>
    </xf>
    <xf numFmtId="14" fontId="0" fillId="0" borderId="0" xfId="0" applyNumberFormat="1"/>
    <xf numFmtId="0" fontId="14" fillId="9" borderId="0" xfId="0" applyFont="1" applyFill="1"/>
    <xf numFmtId="0" fontId="14" fillId="0" borderId="0" xfId="0" applyFont="1"/>
    <xf numFmtId="0" fontId="24" fillId="0" borderId="0" xfId="0" applyFont="1"/>
    <xf numFmtId="0" fontId="3" fillId="0" borderId="0" xfId="0" applyFont="1" applyAlignment="1">
      <alignment wrapText="1"/>
    </xf>
    <xf numFmtId="11" fontId="0" fillId="0" borderId="0" xfId="0" applyNumberFormat="1"/>
    <xf numFmtId="0" fontId="0" fillId="10" borderId="0" xfId="0" applyFill="1" applyAlignment="1">
      <alignment wrapText="1"/>
    </xf>
    <xf numFmtId="0" fontId="25" fillId="0" borderId="0" xfId="0" applyFont="1"/>
    <xf numFmtId="0" fontId="17" fillId="0" borderId="0" xfId="0" applyFont="1" applyAlignment="1">
      <alignment wrapText="1"/>
    </xf>
    <xf numFmtId="0" fontId="28" fillId="0" borderId="0" xfId="0" applyFont="1" applyAlignment="1">
      <alignment vertical="center"/>
    </xf>
    <xf numFmtId="0" fontId="28" fillId="0" borderId="0" xfId="0" applyFont="1" applyAlignment="1">
      <alignment vertical="center" wrapText="1"/>
    </xf>
    <xf numFmtId="0" fontId="27" fillId="0" borderId="0" xfId="0" applyFont="1" applyAlignment="1">
      <alignment vertical="top" wrapText="1"/>
    </xf>
    <xf numFmtId="0" fontId="31" fillId="0" borderId="0" xfId="0" applyFont="1" applyAlignment="1">
      <alignment vertical="center"/>
    </xf>
    <xf numFmtId="14" fontId="0" fillId="0" borderId="0" xfId="0" applyNumberFormat="1" applyAlignment="1">
      <alignment vertical="top"/>
    </xf>
    <xf numFmtId="0" fontId="2" fillId="0" borderId="0" xfId="1" applyFill="1" applyAlignment="1">
      <alignment vertical="top"/>
    </xf>
    <xf numFmtId="0" fontId="32" fillId="11" borderId="0" xfId="1" applyFont="1" applyFill="1" applyAlignment="1">
      <alignment vertical="top"/>
    </xf>
    <xf numFmtId="0" fontId="31" fillId="12" borderId="7" xfId="0" applyFont="1" applyFill="1" applyBorder="1" applyAlignment="1">
      <alignment vertical="center" wrapText="1"/>
    </xf>
    <xf numFmtId="0" fontId="31" fillId="0" borderId="7" xfId="0" applyFont="1" applyBorder="1" applyAlignment="1">
      <alignment vertical="center" wrapText="1"/>
    </xf>
    <xf numFmtId="0" fontId="31" fillId="12" borderId="0" xfId="0" applyFont="1" applyFill="1" applyAlignment="1">
      <alignment vertical="center"/>
    </xf>
    <xf numFmtId="0" fontId="31" fillId="12" borderId="0" xfId="0" applyFont="1" applyFill="1" applyAlignment="1">
      <alignment vertical="center" wrapText="1"/>
    </xf>
    <xf numFmtId="0" fontId="34" fillId="0" borderId="0" xfId="0" applyFont="1" applyAlignment="1">
      <alignment vertical="center" wrapText="1"/>
    </xf>
    <xf numFmtId="0" fontId="34" fillId="0" borderId="8" xfId="0" applyFont="1" applyBorder="1" applyAlignment="1">
      <alignment vertical="center" wrapText="1"/>
    </xf>
    <xf numFmtId="0" fontId="28" fillId="12" borderId="0" xfId="0" applyFont="1" applyFill="1" applyAlignment="1">
      <alignment vertical="center" wrapText="1"/>
    </xf>
    <xf numFmtId="0" fontId="28" fillId="0" borderId="9" xfId="0" applyFont="1" applyBorder="1" applyAlignment="1">
      <alignment vertical="center" wrapText="1"/>
    </xf>
    <xf numFmtId="0" fontId="28" fillId="0" borderId="10" xfId="0" applyFont="1" applyBorder="1" applyAlignment="1">
      <alignment vertical="center" wrapText="1"/>
    </xf>
    <xf numFmtId="0" fontId="0" fillId="13" borderId="0" xfId="0" applyFill="1"/>
    <xf numFmtId="0" fontId="1" fillId="13" borderId="0" xfId="0" applyFont="1" applyFill="1" applyAlignment="1">
      <alignment wrapText="1"/>
    </xf>
    <xf numFmtId="0" fontId="0" fillId="13" borderId="0" xfId="0" applyFill="1" applyAlignment="1">
      <alignment wrapText="1"/>
    </xf>
    <xf numFmtId="17" fontId="0" fillId="13" borderId="0" xfId="0" applyNumberFormat="1" applyFill="1"/>
    <xf numFmtId="0" fontId="0" fillId="14" borderId="0" xfId="0" applyFill="1"/>
    <xf numFmtId="0" fontId="1" fillId="14" borderId="0" xfId="0" applyFont="1" applyFill="1" applyAlignment="1">
      <alignment wrapText="1"/>
    </xf>
    <xf numFmtId="0" fontId="0" fillId="14" borderId="0" xfId="0" applyFill="1" applyAlignment="1">
      <alignment wrapText="1"/>
    </xf>
    <xf numFmtId="0" fontId="2" fillId="14" borderId="0" xfId="1" applyFill="1" applyAlignment="1"/>
    <xf numFmtId="164" fontId="0" fillId="14" borderId="0" xfId="0" applyNumberFormat="1" applyFill="1"/>
    <xf numFmtId="17" fontId="0" fillId="14" borderId="0" xfId="0" applyNumberFormat="1" applyFill="1"/>
    <xf numFmtId="0" fontId="2" fillId="14" borderId="0" xfId="1" applyFill="1"/>
    <xf numFmtId="0" fontId="2" fillId="14" borderId="0" xfId="1" applyFill="1" applyAlignment="1">
      <alignment horizontal="left" vertical="center"/>
    </xf>
    <xf numFmtId="0" fontId="5" fillId="14" borderId="0" xfId="0" applyFont="1" applyFill="1"/>
    <xf numFmtId="0" fontId="2" fillId="14" borderId="0" xfId="1" applyFill="1" applyAlignment="1">
      <alignment vertical="center" wrapText="1" readingOrder="1"/>
    </xf>
    <xf numFmtId="0" fontId="17" fillId="14" borderId="0" xfId="0" applyFont="1" applyFill="1"/>
    <xf numFmtId="0" fontId="17" fillId="15" borderId="0" xfId="0" applyFont="1" applyFill="1"/>
    <xf numFmtId="0" fontId="1" fillId="15" borderId="0" xfId="0" applyFont="1" applyFill="1" applyAlignment="1">
      <alignment wrapText="1"/>
    </xf>
    <xf numFmtId="0" fontId="0" fillId="15" borderId="0" xfId="0" applyFill="1"/>
    <xf numFmtId="0" fontId="17" fillId="16" borderId="0" xfId="0" applyFont="1" applyFill="1"/>
    <xf numFmtId="0" fontId="1" fillId="16" borderId="0" xfId="0" applyFont="1" applyFill="1" applyAlignment="1">
      <alignment wrapText="1"/>
    </xf>
    <xf numFmtId="0" fontId="0" fillId="16" borderId="0" xfId="0" applyFill="1"/>
    <xf numFmtId="0" fontId="2" fillId="15" borderId="0" xfId="1" applyFill="1"/>
    <xf numFmtId="0" fontId="2" fillId="15" borderId="0" xfId="1" applyFill="1" applyAlignment="1"/>
    <xf numFmtId="0" fontId="0" fillId="15" borderId="0" xfId="0" applyFill="1" applyAlignment="1">
      <alignment wrapText="1"/>
    </xf>
    <xf numFmtId="0" fontId="11" fillId="4" borderId="0" xfId="0" applyFont="1" applyFill="1" applyAlignment="1">
      <alignment horizontal="center" vertical="center" textRotation="90"/>
    </xf>
    <xf numFmtId="0" fontId="11" fillId="3" borderId="0" xfId="0" applyFont="1" applyFill="1" applyAlignment="1">
      <alignment horizontal="center" vertical="center" textRotation="90"/>
    </xf>
    <xf numFmtId="0" fontId="31" fillId="0" borderId="0" xfId="0" applyFont="1" applyAlignment="1">
      <alignment vertical="center" wrapText="1"/>
    </xf>
  </cellXfs>
  <cellStyles count="4">
    <cellStyle name="Bad" xfId="3" builtinId="27"/>
    <cellStyle name="Good" xfId="2" builtinId="26"/>
    <cellStyle name="Hyperlink" xfId="1" builtinId="8"/>
    <cellStyle name="Normal" xfId="0" builtinId="0"/>
  </cellStyles>
  <dxfs count="57">
    <dxf>
      <font>
        <b/>
        <i val="0"/>
        <strike val="0"/>
        <condense val="0"/>
        <extend val="0"/>
        <outline val="0"/>
        <shadow val="0"/>
        <u val="none"/>
        <vertAlign val="baseline"/>
        <sz val="11"/>
        <color theme="1"/>
        <name val="Aptos Narrow"/>
        <family val="2"/>
        <scheme val="minor"/>
      </font>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6" tint="0.59999389629810485"/>
        </patternFill>
      </fill>
    </dxf>
    <dxf>
      <fill>
        <patternFill patternType="solid">
          <fgColor indexed="64"/>
          <bgColor theme="6" tint="0.59999389629810485"/>
        </patternFill>
      </fill>
    </dxf>
    <dxf>
      <fill>
        <patternFill patternType="solid">
          <fgColor indexed="64"/>
          <bgColor theme="6" tint="0.59999389629810485"/>
        </patternFill>
      </fill>
    </dxf>
    <dxf>
      <fill>
        <patternFill patternType="solid">
          <fgColor indexed="64"/>
          <bgColor theme="6" tint="0.59999389629810485"/>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fgColor indexed="64"/>
          <bgColor theme="6" tint="0.79998168889431442"/>
        </patternFill>
      </fill>
    </dxf>
    <dxf>
      <fill>
        <patternFill>
          <fgColor indexed="64"/>
          <bgColor theme="6" tint="0.79998168889431442"/>
        </patternFill>
      </fill>
    </dxf>
    <dxf>
      <fill>
        <patternFill>
          <fgColor indexed="64"/>
          <bgColor theme="6" tint="0.79998168889431442"/>
        </patternFill>
      </fill>
    </dxf>
    <dxf>
      <fill>
        <patternFill patternType="solid">
          <fgColor indexed="64"/>
          <bgColor theme="5" tint="0.59999389629810485"/>
        </patternFill>
      </fill>
    </dxf>
    <dxf>
      <fill>
        <patternFill patternType="solid">
          <fgColor indexed="64"/>
          <bgColor theme="5" tint="0.59999389629810485"/>
        </patternFill>
      </fill>
    </dxf>
    <dxf>
      <fill>
        <patternFill patternType="solid">
          <fgColor indexed="64"/>
          <bgColor theme="5" tint="0.59999389629810485"/>
        </patternFill>
      </fill>
    </dxf>
    <dxf>
      <numFmt numFmtId="22" formatCode="mmm\-yy"/>
      <fill>
        <patternFill patternType="solid">
          <fgColor indexed="64"/>
          <bgColor theme="6" tint="0.79998168889431442"/>
        </patternFill>
      </fill>
    </dxf>
    <dxf>
      <numFmt numFmtId="22" formatCode="mmm\-yy"/>
      <fill>
        <patternFill patternType="solid">
          <fgColor indexed="64"/>
          <bgColor theme="6" tint="0.79998168889431442"/>
        </patternFill>
      </fill>
    </dxf>
    <dxf>
      <numFmt numFmtId="164" formatCode="[$-809]dd\ mmmm\ yyyy;@"/>
      <fill>
        <patternFill patternType="solid">
          <fgColor indexed="64"/>
          <bgColor theme="6" tint="0.79998168889431442"/>
        </patternFill>
      </fill>
    </dxf>
    <dxf>
      <numFmt numFmtId="164" formatCode="[$-809]dd\ mmmm\ yyyy;@"/>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22" formatCode="mmm\-yy"/>
    </dxf>
    <dxf>
      <numFmt numFmtId="22" formatCode="mmm\-yy"/>
    </dxf>
    <dxf>
      <numFmt numFmtId="164" formatCode="[$-809]dd\ mmmm\ yyyy;@"/>
    </dxf>
    <dxf>
      <numFmt numFmtId="164" formatCode="[$-809]dd\ mmmm\ yyyy;@"/>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right style="thin">
          <color theme="3"/>
        </right>
        <top/>
        <bottom/>
      </border>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outline val="0"/>
        <shadow val="0"/>
        <u val="none"/>
        <vertAlign val="baseline"/>
        <sz val="12"/>
        <color rgb="FF000000"/>
        <name val="Arial"/>
        <family val="2"/>
        <scheme val="none"/>
      </font>
      <alignment horizontal="left" vertical="center" textRotation="0" wrapText="1" indent="0" justifyLastLine="0" shrinkToFit="0" readingOrder="1"/>
      <border diagonalUp="0" diagonalDown="0">
        <left/>
        <right/>
        <top style="medium">
          <color rgb="FF000000"/>
        </top>
        <bottom/>
        <vertical/>
        <horizontal/>
      </border>
    </dxf>
    <dxf>
      <font>
        <strike val="0"/>
        <outline val="0"/>
        <shadow val="0"/>
        <u val="none"/>
        <vertAlign val="baseline"/>
        <sz val="12"/>
        <color rgb="FF000000"/>
        <name val="Arial"/>
        <family val="2"/>
        <scheme val="none"/>
      </font>
      <alignment horizontal="left" vertical="center" textRotation="0" wrapText="1" indent="0" justifyLastLine="0" shrinkToFit="0" readingOrder="1"/>
      <border diagonalUp="0" diagonalDown="0">
        <left/>
        <right/>
        <top style="medium">
          <color rgb="FF000000"/>
        </top>
        <bottom/>
        <vertical/>
        <horizontal/>
      </border>
    </dxf>
    <dxf>
      <font>
        <strike val="0"/>
        <outline val="0"/>
        <shadow val="0"/>
        <u val="none"/>
        <vertAlign val="baseline"/>
        <sz val="12"/>
        <color rgb="FF000000"/>
        <name val="Arial"/>
        <family val="2"/>
        <scheme val="none"/>
      </font>
      <alignment horizontal="left" vertical="center" textRotation="0" wrapText="1" indent="0" justifyLastLine="0" shrinkToFit="0" readingOrder="1"/>
    </dxf>
    <dxf>
      <font>
        <strike val="0"/>
        <outline val="0"/>
        <shadow val="0"/>
        <u val="none"/>
        <vertAlign val="baseline"/>
        <sz val="12"/>
      </font>
      <alignment horizontal="center" vertical="center" textRotation="0" wrapText="1" indent="0" justifyLastLine="0" shrinkToFit="0" readingOrder="1"/>
    </dxf>
    <dxf>
      <font>
        <b val="0"/>
        <i val="0"/>
        <strike val="0"/>
        <condense val="0"/>
        <extend val="0"/>
        <outline val="0"/>
        <shadow val="0"/>
        <u val="none"/>
        <vertAlign val="baseline"/>
        <sz val="11"/>
        <color theme="1"/>
        <name val="Aptos Narrow"/>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9" formatCode="dd/mm/yyyy"/>
      <alignment horizontal="general" vertical="top" textRotation="0" wrapText="0" indent="0" justifyLastLine="0" shrinkToFit="0" readingOrder="0"/>
    </dxf>
    <dxf>
      <font>
        <b val="0"/>
        <i val="0"/>
        <strike val="0"/>
        <condense val="0"/>
        <extend val="0"/>
        <outline val="0"/>
        <shadow val="0"/>
        <u/>
        <vertAlign val="baseline"/>
        <sz val="11"/>
        <color theme="10"/>
        <name val="Aptos Narrow"/>
        <family val="2"/>
        <scheme val="minor"/>
      </font>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general"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C5D87202-CB6B-4DE8-9687-BECABD8EFCB5}">
    <nsvFilter filterId="{A63DE1C7-2A0D-47BA-8B9F-905F6F8634DC}" ref="A2:AF106" tableId="2">
      <columnFilter colId="7" id="{AD2484CD-0385-4249-A94C-E5E4BA7725CF}">
        <filter colId="7">
          <x:filters>
            <x:filter val="Included"/>
          </x:filters>
        </filter>
      </columnFilter>
      <sortRules>
        <sortRule colId="0" id="{6B650CCD-F3D0-4455-B26D-922F687020E5}">
          <sortCondition ref="A2:A106"/>
        </sortRule>
      </sortRules>
    </nsvFilter>
  </namedSheetView>
</namedSheetView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2F00E29-AEF3-441C-800F-9B9231DB561E}" name="Table6" displayName="Table6" ref="B7:D16" totalsRowShown="0" headerRowDxfId="56">
  <autoFilter ref="B7:D16" xr:uid="{22F00E29-AEF3-441C-800F-9B9231DB561E}"/>
  <tableColumns count="3">
    <tableColumn id="1" xr3:uid="{D50BF1BB-F3F4-46AD-AAF8-CAA15FA19ED6}" name="Tab" dataDxfId="55" dataCellStyle="Hyperlink"/>
    <tableColumn id="2" xr3:uid="{C9250F35-9EA4-4C36-87C2-519C964993D0}" name="Last Modified" dataDxfId="54"/>
    <tableColumn id="3" xr3:uid="{3C4E4BA5-758F-442B-B70A-28B138CB8A39}" name="Description "/>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2495121-90C9-4D9C-A132-22F1DFB85008}" name="Updates" displayName="Updates" ref="B19:E22" totalsRowShown="0">
  <autoFilter ref="B19:E22" xr:uid="{F2495121-90C9-4D9C-A132-22F1DFB85008}"/>
  <tableColumns count="4">
    <tableColumn id="1" xr3:uid="{F1AE0B9C-C578-4A6C-9EE8-3BD61DBAEB77}" name="Version"/>
    <tableColumn id="2" xr3:uid="{C01BE554-5E2D-4622-8CAD-B15AAC6BB3B3}" name="Date" dataDxfId="53"/>
    <tableColumn id="3" xr3:uid="{83191359-735E-46F7-8EFA-51D90398F2DE}" name="Update" dataDxfId="52"/>
    <tableColumn id="4" xr3:uid="{02FD7BD2-3764-4AEA-BCAC-10D6A0266907}" name="Person " dataDxfId="51"/>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AF1BCD-FD3C-4BBE-B744-ED413CE82AA7}" name="Inclusion_exclusion" displayName="Inclusion_exclusion" ref="A3:B9" totalsRowShown="0" headerRowDxfId="50" dataDxfId="49">
  <autoFilter ref="A3:B9" xr:uid="{55AF1BCD-FD3C-4BBE-B744-ED413CE82AA7}"/>
  <tableColumns count="2">
    <tableColumn id="1" xr3:uid="{D048981C-61B6-486F-B8E0-662E15136BBC}" name="Inclusion " dataDxfId="48"/>
    <tableColumn id="2" xr3:uid="{8BD3C511-C378-449F-A7CB-CBC926E89F87}" name="Exclusion " dataDxfId="4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FD2B8E-60BF-4533-BB45-14701FEE5B79}" name="resources_examples" displayName="resources_examples" ref="A1:X11" totalsRowShown="0" headerRowDxfId="42">
  <autoFilter ref="A1:X11" xr:uid="{A63DE1C7-2A0D-47BA-8B9F-905F6F8634DC}"/>
  <sortState xmlns:xlrd2="http://schemas.microsoft.com/office/spreadsheetml/2017/richdata2" ref="A2:W11">
    <sortCondition descending="1" ref="G1:G11"/>
  </sortState>
  <tableColumns count="24">
    <tableColumn id="24" xr3:uid="{80D8846F-A5F2-4D70-9A77-14303B0B10DF}" name="ID" dataDxfId="41"/>
    <tableColumn id="25" xr3:uid="{B1549522-06EC-4ADC-A7B9-ADBE4D79BCA8}" name="Title" dataDxfId="40"/>
    <tableColumn id="2" xr3:uid="{99E69E37-4140-4E66-85BA-14380FCF97FB}" name="Author"/>
    <tableColumn id="3" xr3:uid="{68E178F4-5F24-43CA-808F-65C8A988855A}" name="Institution "/>
    <tableColumn id="5" xr3:uid="{2A6AA947-7FDD-43CB-9D86-FDD3499801BA}" name="Link" dataCellStyle="Hyperlink"/>
    <tableColumn id="21" xr3:uid="{AF178009-5BAB-4C89-8A46-540E7728494E}" name="LinkIsAccesible " dataCellStyle="Hyperlink"/>
    <tableColumn id="22" xr3:uid="{CEE1686C-37D6-44A3-948D-AEC58B7993EC}" name="Included/Excluded"/>
    <tableColumn id="20" xr3:uid="{5E2DAFD2-4968-4BF0-99CD-4DEB35E5782C}" name="Reason for Exclusion " dataDxfId="39"/>
    <tableColumn id="23" xr3:uid="{9E6C64D0-DA1A-4CAC-A809-88068F037A59}" name="Date Accessed" dataDxfId="38"/>
    <tableColumn id="4" xr3:uid="{8DC1DCFC-3076-4F90-8C48-BCA95421393D}" name="Date Created" dataDxfId="37"/>
    <tableColumn id="26" xr3:uid="{0E54C74B-E674-49D2-833B-B06D86FD1077}" name="Accountable Person" dataDxfId="36"/>
    <tableColumn id="6" xr3:uid="{49C89CF8-1616-4CB1-9DD8-7D2FD5862ADF}" name="Summary " dataDxfId="35" dataCellStyle="Hyperlink"/>
    <tableColumn id="7" xr3:uid="{06364FD1-DA16-4692-B0C5-F2240AE9CA1D}" name="Subject of Resource"/>
    <tableColumn id="8" xr3:uid="{1DA70075-EDBB-4D23-8CD8-9845AD411E36}" name="Type of Resource "/>
    <tableColumn id="27" xr3:uid="{AD978598-C2BC-40A8-A849-C4596BDA6981}" name="Sector"/>
    <tableColumn id="28" xr3:uid="{728CA25E-EA5B-48FE-B856-1D3BFDF4C9B9}" name="Scope"/>
    <tableColumn id="10" xr3:uid="{17738478-BD10-4321-A75C-0E27BA1C9B48}" name="EPSRC Discipline"/>
    <tableColumn id="9" xr3:uid="{670A00BA-912A-46A8-BDEB-5868E5E350D9}" name="Individual Characteristics"/>
    <tableColumn id="14" xr3:uid="{40834A50-5A33-40A7-A89F-16FA88E9733F}" name="Career Pathway"/>
    <tableColumn id="15" xr3:uid="{6EE11529-F9D0-4338-99FD-6772C8BA4475}" name="Research Funding Process "/>
    <tableColumn id="16" xr3:uid="{7D819DCB-6F81-4D1B-8F91-AADBAF802177}" name="Organisational Culture"/>
    <tableColumn id="18" xr3:uid="{B3B85615-FCE3-48F2-9A32-1EEFDB55197B}" name="Evaluation Methods"/>
    <tableColumn id="19" xr3:uid="{F79FD0E7-CE65-4E8C-8A06-A25BB8291D93}" name="Outcomes Measured "/>
    <tableColumn id="29" xr3:uid="{6775BE72-133C-412F-84A8-73AF70BAAE04}" name="EDI Intervention Readiness Level"/>
  </tableColumns>
  <tableStyleInfo name="TableStyleMedium16"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4CF898-220F-4E0D-87B8-230B96FBA335}" name="Taxonomy_options" displayName="Taxonomy_options" ref="A3:P50" totalsRowShown="0" headerRowDxfId="34">
  <autoFilter ref="A3:P50" xr:uid="{94413BE0-5876-44A8-A0FF-DB600A7A111F}"/>
  <sortState xmlns:xlrd2="http://schemas.microsoft.com/office/spreadsheetml/2017/richdata2" ref="A4:O36">
    <sortCondition ref="A4:A36"/>
  </sortState>
  <tableColumns count="16">
    <tableColumn id="1" xr3:uid="{0EA8B5DC-CC45-48E1-8DE7-C6208F9C2E8F}" name="Subject of Resource"/>
    <tableColumn id="2" xr3:uid="{59AB3417-AA3E-42B2-BD57-813F23159BBD}" name="Type of Resource"/>
    <tableColumn id="16" xr3:uid="{EBC192C5-A19F-4C32-A443-A5F322A97B2B}" name="Resource Subject (Modified)"/>
    <tableColumn id="15" xr3:uid="{A4173587-D762-4625-8675-10C19A181409}" name="Resource Type (Modified)"/>
    <tableColumn id="14" xr3:uid="{AB34510D-B504-4963-8056-295D04FD33CA}" name="Resource Format (Modified)"/>
    <tableColumn id="3" xr3:uid="{76BB2D64-5049-4F09-BE33-68C41045F9A2}" name="Level"/>
    <tableColumn id="4" xr3:uid="{67894224-52BE-4585-877D-0F974A633636}" name="Individual Characteristics"/>
    <tableColumn id="5" xr3:uid="{CF20266A-CBAD-4CC2-9395-92A3085E7F50}" name="Sector"/>
    <tableColumn id="6" xr3:uid="{2A690327-8216-4BC2-AF38-B2DEB6CEFC08}" name="Discipline"/>
    <tableColumn id="8" xr3:uid="{E179240D-2A33-4465-AC38-7A9F73075592}" name="Career Pathway"/>
    <tableColumn id="9" xr3:uid="{40AD038A-C195-47D6-A6EB-7D86F44B0767}" name="Research Funding Process"/>
    <tableColumn id="10" xr3:uid="{BA38FB53-00F5-46B8-BBCB-BA511EADCE07}" name="Organisational Culture"/>
    <tableColumn id="12" xr3:uid="{32881551-8FED-47AF-97AF-49E0FABAA0E4}" name="Evalution Methods"/>
    <tableColumn id="13" xr3:uid="{717ECF00-461B-4047-B151-5E064A83D8B9}" name="Outcomes Measured " dataDxfId="33"/>
    <tableColumn id="7" xr3:uid="{B8F938A8-6044-4949-AB8C-46BD11013BEA}" name="EDI Readiness Level"/>
    <tableColumn id="11" xr3:uid="{9C7C6F27-45D4-40CC-97FD-BEE3E2D2E250}" name="__PowerAppsId__"/>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3DE1C7-2A0D-47BA-8B9F-905F6F8634DC}" name="Resources_full_data" displayName="Resources_full_data" ref="A2:AF106" totalsRowShown="0" headerRowDxfId="32">
  <autoFilter ref="A2:AF106" xr:uid="{A63DE1C7-2A0D-47BA-8B9F-905F6F8634DC}"/>
  <sortState xmlns:xlrd2="http://schemas.microsoft.com/office/spreadsheetml/2017/richdata2" ref="A3:AF106">
    <sortCondition ref="A2:A106"/>
  </sortState>
  <tableColumns count="32">
    <tableColumn id="24" xr3:uid="{6B650CCD-F3D0-4455-B26D-922F687020E5}" name="ID" dataDxfId="31"/>
    <tableColumn id="1" xr3:uid="{03CE2187-D820-4A72-9B05-2E8767BCB476}" name="Example" dataDxfId="30"/>
    <tableColumn id="25" xr3:uid="{3ED1C158-52CE-4A10-8E73-34D37F50ED44}" name="Title" dataDxfId="29"/>
    <tableColumn id="2" xr3:uid="{DE02369A-5F9C-4C59-AD8C-DFF3F7EB7C04}" name="Author" dataDxfId="28"/>
    <tableColumn id="3" xr3:uid="{77D44B58-6A1C-49CA-BF51-F16CE9E1EE81}" name="Institution" dataDxfId="27"/>
    <tableColumn id="5" xr3:uid="{B8C55E3B-E08F-45DE-9688-C419904D14A3}" name="Link" dataDxfId="26" dataCellStyle="Hyperlink"/>
    <tableColumn id="21" xr3:uid="{E0E8F002-E99D-460C-B9FB-CB31D8C7C344}" name="LinkIsAccesible " dataDxfId="25" dataCellStyle="Hyperlink"/>
    <tableColumn id="22" xr3:uid="{AD2484CD-0385-4249-A94C-E5E4BA7725CF}" name="Included_Excluded" dataDxfId="24"/>
    <tableColumn id="20" xr3:uid="{2F9D1828-E6EF-4AE1-9F1C-BEEED9EBB0E6}" name="Reason for Exclusion (if applicable)" dataDxfId="23">
      <calculatedColumnFormula>IF(Resources_full_data[[#This Row],[LinkIsAccesible ]] ="Page not found", "Page not found."," ")</calculatedColumnFormula>
    </tableColumn>
    <tableColumn id="23" xr3:uid="{C922FC61-6993-4DD4-8999-9AAC3FB8F404}" name="Date Accessed" dataDxfId="22">
      <calculatedColumnFormula>TODAY()</calculatedColumnFormula>
    </tableColumn>
    <tableColumn id="4" xr3:uid="{CF468BF4-8CBF-4140-BA98-3F7BEF308FB9}" name="Date Created" dataDxfId="21"/>
    <tableColumn id="26" xr3:uid="{CAD0B216-2DD9-4C0D-AD83-7A736379E0BC}" name="Accountable Person" dataDxfId="20"/>
    <tableColumn id="6" xr3:uid="{19737207-D447-453E-9478-CF0EB4FF1709}" name="Summary (will be generated using AI)" dataDxfId="19"/>
    <tableColumn id="7" xr3:uid="{92859CB0-1A2D-47E8-B85D-89A2D34B9AB0}" name="Subject of Resource (Archived)" dataDxfId="18"/>
    <tableColumn id="8" xr3:uid="{8EAEB5D5-9B68-416B-A971-8C87D2397F26}" name="Type of Resource (Archived)" dataDxfId="17"/>
    <tableColumn id="29" xr3:uid="{A25881E9-A1E9-467A-8DE6-9B85198201A4}" name="Resource Subject (Modified)" dataDxfId="16"/>
    <tableColumn id="28" xr3:uid="{1605A75A-17E5-428B-B154-ECA56514E7CE}" name="Resource Type (Modified)" dataDxfId="15"/>
    <tableColumn id="17" xr3:uid="{7A5CF5C2-BF13-40DF-AA6E-D754153B4724}" name="Resource Format (Modified)" dataDxfId="14"/>
    <tableColumn id="11" xr3:uid="{400C6DDD-5044-475F-8E45-70A82ED28A46}" name="Sector" dataDxfId="13"/>
    <tableColumn id="9" xr3:uid="{36AFEE04-86CC-4056-A5C8-1138FFC54556}" name="Level" dataDxfId="12"/>
    <tableColumn id="12" xr3:uid="{13B15C51-F60E-458B-9827-259F85BBFD1A}" name="Discipline (Archived)" dataDxfId="11"/>
    <tableColumn id="10" xr3:uid="{18EFCD7F-10C8-4CB3-87C9-6412424CFD86}" name="Individual Characteristics" dataDxfId="10"/>
    <tableColumn id="14" xr3:uid="{BE86D34F-1959-44C1-A841-097F4FA86A09}" name="Career Pathway" dataDxfId="9"/>
    <tableColumn id="15" xr3:uid="{CF820DD5-BC83-477B-B71A-80EFE8FBFC2F}" name="Research Funding Process" dataDxfId="8"/>
    <tableColumn id="16" xr3:uid="{CB66D102-FE41-4411-8A2A-7DB46262A640}" name="Organisational Culture" dataDxfId="7"/>
    <tableColumn id="13" xr3:uid="{C0DF377D-F55C-4EF1-8605-CD95A20E7004}" name="Miscellaneous Themes"/>
    <tableColumn id="31" xr3:uid="{F316D92E-481C-4F56-9B07-06A17D2998E9}" name="Evaluated in Resource" dataDxfId="6"/>
    <tableColumn id="32" xr3:uid="{9B9AF228-698E-4E6F-93DB-8577733ED46A}" name="Evaluation Link" dataDxfId="5"/>
    <tableColumn id="18" xr3:uid="{6F2E0D93-79DD-41BC-BA1A-75FFC15B412C}" name="Evalution Methods" dataDxfId="4"/>
    <tableColumn id="19" xr3:uid="{9576E81C-F57A-456E-B232-110A064464B8}" name="Outcomes Measured " dataDxfId="3"/>
    <tableColumn id="30" xr3:uid="{F159077E-F1B1-44F3-A9E3-DEF4516C4B4B}" name="EDI Intervention Readiness Level" dataDxfId="2"/>
    <tableColumn id="27" xr3:uid="{C68A266D-6151-4BF0-9181-FA160E8D5903}" name="EDI Intervention Readiness (Archive)" dataDxfId="1"/>
  </tableColumns>
  <tableStyleInfo name="TableStyleMedium16"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EF74D5-C287-4938-B018-1859E65C95AE}" name="References" displayName="References" ref="A1:E9" totalsRowShown="0" headerRowDxfId="0">
  <autoFilter ref="A1:E9" xr:uid="{C4EF74D5-C287-4938-B018-1859E65C95AE}"/>
  <tableColumns count="5">
    <tableColumn id="1" xr3:uid="{EFB534BC-7774-4E7A-94F1-FD921D967891}" name="#"/>
    <tableColumn id="2" xr3:uid="{D56E4843-472E-4F1B-9AC1-DCA336A35617}" name="Title"/>
    <tableColumn id="3" xr3:uid="{3FEB27E3-491B-44F5-9E5C-E9628D62C594}" name="Author"/>
    <tableColumn id="4" xr3:uid="{8365DAC0-6E82-463E-9EDC-AC8C0F448133}" name="Organisation/Publisher"/>
    <tableColumn id="5" xr3:uid="{6B9EEEF2-086C-43BD-9B3B-5941336FC991}" name="Link"/>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cardographer.cs.nott.ac.uk/sessions/63fc86fa6248425d4567a33a/cards"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www.gov.uk/government/publications/inclusive-communication/inclusive-language-words-to-use-and-avoid-when-writing-about-disability" TargetMode="External"/><Relationship Id="rId2" Type="http://schemas.openxmlformats.org/officeDocument/2006/relationships/hyperlink" Target="https://www.britishscienceassociation.org/Handlers/Download.ashx?IDMF=b0479031-7e8b-4a0e-b3c6-80b7c383a183" TargetMode="External"/><Relationship Id="rId1" Type="http://schemas.openxmlformats.org/officeDocument/2006/relationships/hyperlink" Target="https://www.nadsn-uk.org/" TargetMode="External"/><Relationship Id="rId5" Type="http://schemas.openxmlformats.org/officeDocument/2006/relationships/table" Target="../tables/table4.xml"/><Relationship Id="rId4" Type="http://schemas.openxmlformats.org/officeDocument/2006/relationships/hyperlink" Target="https://www.bbc.co.uk/bitesize/articles/zrvkbqt"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www.gov.uk/government/publications/inclusive-communication/inclusive-language-words-to-use-and-avoid-when-writing-about-disability" TargetMode="External"/><Relationship Id="rId2" Type="http://schemas.openxmlformats.org/officeDocument/2006/relationships/hyperlink" Target="https://www.britishscienceassociation.org/Handlers/Download.ashx?IDMF=b0479031-7e8b-4a0e-b3c6-80b7c383a183" TargetMode="External"/><Relationship Id="rId1" Type="http://schemas.openxmlformats.org/officeDocument/2006/relationships/hyperlink" Target="https://www.nadsn-uk.org/" TargetMode="External"/><Relationship Id="rId5" Type="http://schemas.openxmlformats.org/officeDocument/2006/relationships/hyperlink" Target="https://reachwater.org.uk/wp-content/uploads/2019/05/2019_05_22_Inclusive-Conference-Guide.pdf" TargetMode="External"/><Relationship Id="rId4" Type="http://schemas.openxmlformats.org/officeDocument/2006/relationships/hyperlink" Target="https://www.bbc.co.uk/bitesize/articles/zrvkbqt"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gov.uk/government/publications/inclusive-communication/inclusive-language-words-to-use-and-avoid-when-writing-about-disability" TargetMode="External"/><Relationship Id="rId18" Type="http://schemas.openxmlformats.org/officeDocument/2006/relationships/hyperlink" Target="https://www.lms.ac.uk/women/diversity-statements-policy-advice" TargetMode="External"/><Relationship Id="rId26" Type="http://schemas.openxmlformats.org/officeDocument/2006/relationships/hyperlink" Target="https://leeds365-my.sharepoint.com/personal/:b:/r/sites/TEAM-EPSRCEDIHubPlus/Shared%20Documents/Workstream%202%20-%20Resource%20Centre/Supporting%20Material/01122021_Mission%20Critical%20Toolkit_DIGITAL.pdf?csf=1&amp;web=1&amp;e=HvjesC" TargetMode="External"/><Relationship Id="rId39" Type="http://schemas.openxmlformats.org/officeDocument/2006/relationships/hyperlink" Target="https://leeds365-my.sharepoint.com/personal/:p:/r/sites/TEAM-EPSRCEDIHubPlus/Shared%20Documents/Workstream%202%20-%20Resource%20Centre/Supporting%20Material/EPSRC-Neuro-Inclusion-Meetings-and-Events-Toolkit%20-%20Copy.pptx?d=wb9680e47395240628139d66721f2e57b&amp;csf=1&amp;web=1&amp;e=p5e7cB" TargetMode="External"/><Relationship Id="rId21" Type="http://schemas.openxmlformats.org/officeDocument/2006/relationships/hyperlink" Target="https://www.york.ac.uk/about/departments/support-and-admin/edo/champions/" TargetMode="External"/><Relationship Id="rId34" Type="http://schemas.openxmlformats.org/officeDocument/2006/relationships/hyperlink" Target="https://researchportal.hw.ac.uk/en/publications/evidence-review-peer-review-bias-in-the-funding-process-main-them" TargetMode="External"/><Relationship Id="rId42" Type="http://schemas.openxmlformats.org/officeDocument/2006/relationships/hyperlink" Target="https://s3.amazonaws.com/kajabi-storefronts-production/file-uploads/sites/45828/downloads/a604721-38ee-61e6-072f-4a0cefa64c6_100BWPN_Impact_Report_2024.pdf" TargetMode="External"/><Relationship Id="rId47" Type="http://schemas.microsoft.com/office/2019/04/relationships/namedSheetView" Target="../namedSheetViews/namedSheetView1.xml"/><Relationship Id="rId7" Type="http://schemas.openxmlformats.org/officeDocument/2006/relationships/hyperlink" Target="https://reportandsupport.nottingham.ac.uk/" TargetMode="External"/><Relationship Id="rId2" Type="http://schemas.openxmlformats.org/officeDocument/2006/relationships/hyperlink" Target="https://www.sussex.ac.uk/equalities/networks/equalitydiversityandinclusionchampions" TargetMode="External"/><Relationship Id="rId16" Type="http://schemas.openxmlformats.org/officeDocument/2006/relationships/hyperlink" Target="https://www.st-andrews.ac.uk/~physoc1/insight/episode.php?s=academics&amp;ep=41" TargetMode="External"/><Relationship Id="rId29" Type="http://schemas.openxmlformats.org/officeDocument/2006/relationships/hyperlink" Target="https://www.nature.com/articles/d41586-021-00022-1" TargetMode="External"/><Relationship Id="rId1" Type="http://schemas.openxmlformats.org/officeDocument/2006/relationships/hyperlink" Target="https://www.linkedin.com/in/erika-loggin-285280101/" TargetMode="External"/><Relationship Id="rId6" Type="http://schemas.openxmlformats.org/officeDocument/2006/relationships/hyperlink" Target="https://www.nadsn-uk.org/" TargetMode="External"/><Relationship Id="rId11" Type="http://schemas.openxmlformats.org/officeDocument/2006/relationships/hyperlink" Target="https://www.linkedin.com/pulse/how-we-organised-our-most-accessible-event-ever-erika-loggin/" TargetMode="External"/><Relationship Id="rId24" Type="http://schemas.openxmlformats.org/officeDocument/2006/relationships/hyperlink" Target="https://www.bath.ac.uk/projects/reimagining-recruitment/" TargetMode="External"/><Relationship Id="rId32" Type="http://schemas.openxmlformats.org/officeDocument/2006/relationships/hyperlink" Target="https://www.ukri.org/publications/ukri-good-practice-principles-in-recruitment-and-training-at-a-doctoral-level/" TargetMode="External"/><Relationship Id="rId37" Type="http://schemas.openxmlformats.org/officeDocument/2006/relationships/hyperlink" Target="https://www.nadsn-uk.org/wp-content/uploads/2025/04/NADSN_STEMM_White_Paper_090425-v0.3.pdf" TargetMode="External"/><Relationship Id="rId40" Type="http://schemas.openxmlformats.org/officeDocument/2006/relationships/hyperlink" Target="https://www.raeng.org.uk/grants-prizes/grants/support-for-research/research-chairs?dm_i" TargetMode="External"/><Relationship Id="rId45" Type="http://schemas.openxmlformats.org/officeDocument/2006/relationships/hyperlink" Target="https://www.creds.ac.uk/publications/we-are-the-ones-that-we-seek-equality-diversity-and-inclusion-in-creds/" TargetMode="External"/><Relationship Id="rId5" Type="http://schemas.openxmlformats.org/officeDocument/2006/relationships/hyperlink" Target="https://www.universitiesuk.ac.uk/what-we-do/policy-and-research/publications/tackling-racism-and-racial-harassment" TargetMode="External"/><Relationship Id="rId15" Type="http://schemas.openxmlformats.org/officeDocument/2006/relationships/hyperlink" Target="https://www.bbc.co.uk/bitesize/articles/zrvkbqt" TargetMode="External"/><Relationship Id="rId23" Type="http://schemas.openxmlformats.org/officeDocument/2006/relationships/hyperlink" Target="https://www.scottishadhdcoalition.org/wp-content/uploads/2018/03/Employers-guide-to-ADHD-SAC-2018.pdf" TargetMode="External"/><Relationship Id="rId28" Type="http://schemas.openxmlformats.org/officeDocument/2006/relationships/hyperlink" Target="https://www.stemm-change.co.uk/home/reverse-mentoring/" TargetMode="External"/><Relationship Id="rId36" Type="http://schemas.openxmlformats.org/officeDocument/2006/relationships/hyperlink" Target="https://collections.durham.ac.uk/files/r1gf06g267h" TargetMode="External"/><Relationship Id="rId10" Type="http://schemas.openxmlformats.org/officeDocument/2006/relationships/hyperlink" Target="https://www.rsc.org/policy-evidence-campaigns/inclusion-diversity/resources/lgbt-toolkit/" TargetMode="External"/><Relationship Id="rId19" Type="http://schemas.openxmlformats.org/officeDocument/2006/relationships/hyperlink" Target="https://www.lms.ac.uk/policy/reports-and-policy-submissions&#160;" TargetMode="External"/><Relationship Id="rId31" Type="http://schemas.openxmlformats.org/officeDocument/2006/relationships/hyperlink" Target="http://eprints.gla.ac.uk/201273/1/201273.pdf" TargetMode="External"/><Relationship Id="rId44" Type="http://schemas.openxmlformats.org/officeDocument/2006/relationships/hyperlink" Target="https://www.cgiar.org/how-we-work/accountability/gdi-panel-pledge/" TargetMode="External"/><Relationship Id="rId4" Type="http://schemas.openxmlformats.org/officeDocument/2006/relationships/hyperlink" Target="https://www.vitae.ac.uk/policy/concordat" TargetMode="External"/><Relationship Id="rId9" Type="http://schemas.openxmlformats.org/officeDocument/2006/relationships/hyperlink" Target="https://www.britishscienceassociation.org/Handlers/Download.ashx?IDMF=b0479031-7e8b-4a0e-b3c6-80b7c383a183" TargetMode="External"/><Relationship Id="rId14" Type="http://schemas.openxmlformats.org/officeDocument/2006/relationships/hyperlink" Target="https://www.youtube.com/watch?v=o1Y4Z0oh1GE" TargetMode="External"/><Relationship Id="rId22" Type="http://schemas.openxmlformats.org/officeDocument/2006/relationships/hyperlink" Target="https://s3.amazonaws.com/kajabi-storefronts-production/file-uploads/sites/45828/downloads/a604721-38ee-61e6-072f-4a0cefa64c6_100BWPN_Impact_Report_2024.pdf" TargetMode="External"/><Relationship Id="rId27" Type="http://schemas.openxmlformats.org/officeDocument/2006/relationships/hyperlink" Target="https://www.raeng.org.uk/grants-prizes/grants/support-for-research/raeng-research-fellowship?dm_i=4S2P,JECP,24GQFK,2B8EM,1" TargetMode="External"/><Relationship Id="rId30" Type="http://schemas.openxmlformats.org/officeDocument/2006/relationships/hyperlink" Target="https://link.springer.com/journal/41073" TargetMode="External"/><Relationship Id="rId35" Type="http://schemas.openxmlformats.org/officeDocument/2006/relationships/hyperlink" Target="https://www.uea.ac.uk/groups-and-centres/projects/access-all-areas-in-labs/access-guidelines" TargetMode="External"/><Relationship Id="rId43" Type="http://schemas.openxmlformats.org/officeDocument/2006/relationships/hyperlink" Target="https://www.ukri.org/wp-content/uploads/2023/04/EPSRC-130423-CollectionOutcomesOutputsEPSRCInclusionMattersPortfolioReport.pdf" TargetMode="External"/><Relationship Id="rId8" Type="http://schemas.openxmlformats.org/officeDocument/2006/relationships/hyperlink" Target="https://www.nottingham.ac.uk/edi/edi-conversation-guides.aspx" TargetMode="External"/><Relationship Id="rId3" Type="http://schemas.openxmlformats.org/officeDocument/2006/relationships/hyperlink" Target="https://gow.epsrc.ukri.org/NGBOViewGrant.aspx?GrantRef=EP/S011927/1" TargetMode="External"/><Relationship Id="rId12" Type="http://schemas.openxmlformats.org/officeDocument/2006/relationships/hyperlink" Target="https://www.leadingroutes.org/the-broken-pipeline-report/" TargetMode="External"/><Relationship Id="rId17" Type="http://schemas.openxmlformats.org/officeDocument/2006/relationships/hyperlink" Target="https://www.bam.ac.uk/knowledge-hub/inclusive-accessible-and-sustainable-events.html" TargetMode="External"/><Relationship Id="rId25" Type="http://schemas.openxmlformats.org/officeDocument/2006/relationships/hyperlink" Target="https://rai.ac.uk/toolkits/edi-toolkit/" TargetMode="External"/><Relationship Id="rId33" Type="http://schemas.openxmlformats.org/officeDocument/2006/relationships/hyperlink" Target="https://link.springer.com/article/10.1186/s41073-024-00144-w" TargetMode="External"/><Relationship Id="rId38" Type="http://schemas.openxmlformats.org/officeDocument/2006/relationships/hyperlink" Target="https://www.rsc.org/globalassets/22-new-perspectives/talent/inclusion-and-diversity/resources/lgbt-toolkit/considering-lgbt-international-mobility.pdf" TargetMode="External"/><Relationship Id="rId46" Type="http://schemas.openxmlformats.org/officeDocument/2006/relationships/table" Target="../tables/table6.xml"/><Relationship Id="rId20" Type="http://schemas.openxmlformats.org/officeDocument/2006/relationships/hyperlink" Target="https://www.autistica.org.uk/what-is-autism/coronavirus/accessible-online-events" TargetMode="External"/><Relationship Id="rId41" Type="http://schemas.openxmlformats.org/officeDocument/2006/relationships/hyperlink" Target="https://www.creds.ac.uk/evaluating-the-impact-of-equality-diversity-and-inclusion-edi-research/"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D0B5C-F38B-4C45-8882-C83097C11DEC}">
  <sheetPr codeName="Sheet4">
    <tabColor theme="6" tint="0.79998168889431442"/>
  </sheetPr>
  <dimension ref="B2:E22"/>
  <sheetViews>
    <sheetView workbookViewId="0">
      <selection activeCell="D11" sqref="D11"/>
    </sheetView>
  </sheetViews>
  <sheetFormatPr baseColWidth="10" defaultColWidth="8.83203125" defaultRowHeight="15" x14ac:dyDescent="0.2"/>
  <cols>
    <col min="2" max="2" width="24" customWidth="1"/>
    <col min="3" max="3" width="16.5" customWidth="1"/>
    <col min="4" max="4" width="57.6640625" customWidth="1"/>
    <col min="5" max="5" width="12.5" customWidth="1"/>
  </cols>
  <sheetData>
    <row r="2" spans="2:4" ht="19" x14ac:dyDescent="0.25">
      <c r="B2" s="13" t="s">
        <v>0</v>
      </c>
    </row>
    <row r="3" spans="2:4" ht="19" x14ac:dyDescent="0.25">
      <c r="B3" s="48" t="s">
        <v>1</v>
      </c>
      <c r="C3" s="41"/>
    </row>
    <row r="4" spans="2:4" ht="19" x14ac:dyDescent="0.25">
      <c r="B4" s="48"/>
    </row>
    <row r="5" spans="2:4" ht="19" x14ac:dyDescent="0.25">
      <c r="B5" s="13" t="s">
        <v>2</v>
      </c>
    </row>
    <row r="7" spans="2:4" ht="16" thickBot="1" x14ac:dyDescent="0.25">
      <c r="B7" s="6" t="s">
        <v>3</v>
      </c>
      <c r="C7" s="6" t="s">
        <v>4</v>
      </c>
      <c r="D7" s="6" t="s">
        <v>5</v>
      </c>
    </row>
    <row r="8" spans="2:4" ht="33" thickBot="1" x14ac:dyDescent="0.25">
      <c r="B8" s="55" t="s">
        <v>6</v>
      </c>
      <c r="C8" s="54">
        <v>45796</v>
      </c>
      <c r="D8" s="64" t="s">
        <v>7</v>
      </c>
    </row>
    <row r="9" spans="2:4" ht="17" thickBot="1" x14ac:dyDescent="0.25">
      <c r="B9" s="55" t="s">
        <v>8</v>
      </c>
      <c r="C9" s="54">
        <v>45812</v>
      </c>
      <c r="D9" s="64" t="s">
        <v>9</v>
      </c>
    </row>
    <row r="10" spans="2:4" ht="33" thickBot="1" x14ac:dyDescent="0.25">
      <c r="B10" s="55" t="s">
        <v>10</v>
      </c>
      <c r="C10" s="54">
        <v>45791</v>
      </c>
      <c r="D10" s="64" t="s">
        <v>11</v>
      </c>
    </row>
    <row r="11" spans="2:4" ht="49" thickBot="1" x14ac:dyDescent="0.25">
      <c r="B11" s="55" t="s">
        <v>12</v>
      </c>
      <c r="C11" s="54">
        <v>45791</v>
      </c>
      <c r="D11" s="64" t="s">
        <v>13</v>
      </c>
    </row>
    <row r="12" spans="2:4" ht="49" thickBot="1" x14ac:dyDescent="0.25">
      <c r="B12" s="56" t="s">
        <v>14</v>
      </c>
      <c r="C12" s="54">
        <v>45814</v>
      </c>
      <c r="D12" s="64" t="s">
        <v>15</v>
      </c>
    </row>
    <row r="13" spans="2:4" ht="33" thickBot="1" x14ac:dyDescent="0.25">
      <c r="B13" s="56" t="s">
        <v>16</v>
      </c>
      <c r="C13" s="54">
        <v>45818</v>
      </c>
      <c r="D13" s="64" t="s">
        <v>17</v>
      </c>
    </row>
    <row r="14" spans="2:4" ht="17" thickBot="1" x14ac:dyDescent="0.25">
      <c r="B14" s="55" t="s">
        <v>18</v>
      </c>
      <c r="C14" s="54">
        <v>45797</v>
      </c>
      <c r="D14" s="64" t="s">
        <v>19</v>
      </c>
    </row>
    <row r="15" spans="2:4" ht="17" thickBot="1" x14ac:dyDescent="0.25">
      <c r="B15" s="55" t="s">
        <v>20</v>
      </c>
      <c r="C15" s="54">
        <v>45818</v>
      </c>
      <c r="D15" s="64" t="s">
        <v>21</v>
      </c>
    </row>
    <row r="16" spans="2:4" ht="33" thickBot="1" x14ac:dyDescent="0.25">
      <c r="B16" s="55" t="s">
        <v>22</v>
      </c>
      <c r="C16" s="54">
        <v>45778</v>
      </c>
      <c r="D16" s="65" t="s">
        <v>23</v>
      </c>
    </row>
    <row r="17" spans="2:5" x14ac:dyDescent="0.2">
      <c r="B17" s="9"/>
      <c r="C17" s="9"/>
      <c r="D17" s="9"/>
    </row>
    <row r="18" spans="2:5" ht="22" x14ac:dyDescent="0.2">
      <c r="B18" s="9" t="s">
        <v>24</v>
      </c>
      <c r="C18" s="9"/>
      <c r="D18" s="9"/>
    </row>
    <row r="19" spans="2:5" ht="16" x14ac:dyDescent="0.2">
      <c r="B19" s="6" t="s">
        <v>25</v>
      </c>
      <c r="C19" s="6" t="s">
        <v>26</v>
      </c>
      <c r="D19" s="4" t="s">
        <v>27</v>
      </c>
      <c r="E19" s="6" t="s">
        <v>28</v>
      </c>
    </row>
    <row r="20" spans="2:5" ht="16" x14ac:dyDescent="0.2">
      <c r="B20" s="9" t="s">
        <v>29</v>
      </c>
      <c r="C20" s="9"/>
      <c r="D20" s="5" t="s">
        <v>30</v>
      </c>
      <c r="E20" s="9" t="s">
        <v>31</v>
      </c>
    </row>
    <row r="21" spans="2:5" ht="96" x14ac:dyDescent="0.2">
      <c r="B21" s="9" t="s">
        <v>1</v>
      </c>
      <c r="C21" s="54">
        <v>45812</v>
      </c>
      <c r="D21" s="5" t="s">
        <v>32</v>
      </c>
      <c r="E21" s="9" t="s">
        <v>31</v>
      </c>
    </row>
    <row r="22" spans="2:5" ht="64" x14ac:dyDescent="0.2">
      <c r="B22" s="9" t="s">
        <v>1</v>
      </c>
      <c r="C22" s="54">
        <v>45819</v>
      </c>
      <c r="D22" s="5" t="s">
        <v>33</v>
      </c>
      <c r="E22" s="9" t="s">
        <v>31</v>
      </c>
    </row>
  </sheetData>
  <hyperlinks>
    <hyperlink ref="B8" location="'1_Inclusion &amp; Exclusion'!A1" display="1_Inclusion &amp; Exclusion" xr:uid="{4B5A56A7-F0F1-4F23-BD47-12843B515EBA}"/>
    <hyperlink ref="B9" location="'2_Taxonomy Structure'!A1" display="2_Taxonomy Structure" xr:uid="{06B0BEA6-1FC0-4452-B77C-8BE877FF46C3}"/>
    <hyperlink ref="B13" location="'5_Resources_full_data'!A1" display="5_Resources_full_data" xr:uid="{CADA8BA3-F6C7-4C3D-93A0-798B4192C64E}"/>
    <hyperlink ref="B16" location="'8_References'!A1" display="8_References" xr:uid="{7B193552-1695-4374-B16A-798C8CEB00C0}"/>
    <hyperlink ref="B12" location="'4_Taxonomy Options'!A1" display="4_Taxonomy Options" xr:uid="{E8B944BF-D997-4D4D-92E4-C1F243333183}"/>
    <hyperlink ref="B14" location="'6_Statistics'!A1" display="6_Statistics" xr:uid="{08589E70-0A0F-4BBE-99DB-E781818229EA}"/>
    <hyperlink ref="B10" location="'3a_Resources_examples'!A1" display="3a_Resources_examples" xr:uid="{3411E5FE-BA69-4AA6-A754-CCC5B0B0E135}"/>
    <hyperlink ref="B11" location="'3b_Summaries_copilot'!A1" display="3b_Summaries_copilot" xr:uid="{5905FD05-0512-4B97-907A-370597ACAB5C}"/>
    <hyperlink ref="B15" location="'7_Document_Maintainence'!A1" display="7_Document_Maintainance " xr:uid="{0F363796-567A-4371-8739-17E25EB7E6F5}"/>
  </hyperlinks>
  <pageMargins left="0.7" right="0.7" top="0.75" bottom="0.75" header="0.3" footer="0.3"/>
  <pageSetup paperSize="9"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664E5-D0AA-4370-82F2-3623EAB32D73}">
  <sheetPr codeName="Sheet5">
    <tabColor rgb="FFFFFF00"/>
  </sheetPr>
  <dimension ref="A1:B9"/>
  <sheetViews>
    <sheetView workbookViewId="0">
      <selection activeCell="A4" sqref="A4"/>
    </sheetView>
  </sheetViews>
  <sheetFormatPr baseColWidth="10" defaultColWidth="8.83203125" defaultRowHeight="15" x14ac:dyDescent="0.2"/>
  <cols>
    <col min="1" max="1" width="64.5" customWidth="1"/>
    <col min="2" max="2" width="59.33203125" customWidth="1"/>
    <col min="3" max="3" width="44.5" customWidth="1"/>
    <col min="4" max="4" width="42.6640625" customWidth="1"/>
    <col min="5" max="5" width="35" customWidth="1"/>
  </cols>
  <sheetData>
    <row r="1" spans="1:2" ht="19" x14ac:dyDescent="0.25">
      <c r="A1" s="13" t="s">
        <v>34</v>
      </c>
      <c r="B1" s="13"/>
    </row>
    <row r="2" spans="1:2" ht="16" thickBot="1" x14ac:dyDescent="0.25"/>
    <row r="3" spans="1:2" ht="18" thickBot="1" x14ac:dyDescent="0.25">
      <c r="A3" s="12" t="s">
        <v>35</v>
      </c>
      <c r="B3" s="12" t="s">
        <v>36</v>
      </c>
    </row>
    <row r="4" spans="1:2" ht="18" thickBot="1" x14ac:dyDescent="0.25">
      <c r="A4" s="11" t="s">
        <v>37</v>
      </c>
      <c r="B4" s="11" t="s">
        <v>38</v>
      </c>
    </row>
    <row r="5" spans="1:2" ht="35" thickBot="1" x14ac:dyDescent="0.25">
      <c r="A5" s="14" t="s">
        <v>39</v>
      </c>
      <c r="B5" s="11" t="s">
        <v>40</v>
      </c>
    </row>
    <row r="6" spans="1:2" ht="35" thickBot="1" x14ac:dyDescent="0.25">
      <c r="A6" s="11" t="s">
        <v>41</v>
      </c>
      <c r="B6" s="11" t="s">
        <v>42</v>
      </c>
    </row>
    <row r="7" spans="1:2" ht="91.5" customHeight="1" thickBot="1" x14ac:dyDescent="0.25">
      <c r="A7" s="11" t="s">
        <v>43</v>
      </c>
      <c r="B7" s="11" t="s">
        <v>44</v>
      </c>
    </row>
    <row r="8" spans="1:2" ht="52" thickBot="1" x14ac:dyDescent="0.25">
      <c r="A8" s="11"/>
      <c r="B8" s="45" t="s">
        <v>45</v>
      </c>
    </row>
    <row r="9" spans="1:2" ht="17" x14ac:dyDescent="0.2">
      <c r="A9" s="11"/>
      <c r="B9" s="11" t="s">
        <v>46</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D2725-8749-426B-A9EC-15BF5F04BA53}">
  <sheetPr codeName="Sheet1">
    <tabColor rgb="FFFFFF00"/>
  </sheetPr>
  <dimension ref="A1:H28"/>
  <sheetViews>
    <sheetView tabSelected="1" zoomScale="115" zoomScaleNormal="115" workbookViewId="0">
      <selection activeCell="E17" sqref="E17:E18"/>
    </sheetView>
  </sheetViews>
  <sheetFormatPr baseColWidth="10" defaultColWidth="8.83203125" defaultRowHeight="15" x14ac:dyDescent="0.2"/>
  <cols>
    <col min="2" max="2" width="18.6640625" style="4" customWidth="1"/>
    <col min="3" max="3" width="19.5" style="5" customWidth="1"/>
    <col min="4" max="4" width="35.1640625" style="5" customWidth="1"/>
    <col min="5" max="5" width="51.83203125" style="7" customWidth="1"/>
    <col min="6" max="6" width="18.33203125" style="7" customWidth="1"/>
    <col min="7" max="7" width="11.5" customWidth="1"/>
    <col min="8" max="8" width="20.5" customWidth="1"/>
  </cols>
  <sheetData>
    <row r="1" spans="1:8" ht="16" x14ac:dyDescent="0.2">
      <c r="B1" s="6" t="s">
        <v>47</v>
      </c>
      <c r="C1" s="4" t="s">
        <v>48</v>
      </c>
      <c r="D1" s="4" t="s">
        <v>49</v>
      </c>
      <c r="E1" s="4" t="s">
        <v>50</v>
      </c>
      <c r="F1" s="4" t="s">
        <v>51</v>
      </c>
      <c r="G1" s="8" t="s">
        <v>52</v>
      </c>
      <c r="H1" t="s">
        <v>53</v>
      </c>
    </row>
    <row r="2" spans="1:8" ht="16" x14ac:dyDescent="0.2">
      <c r="A2" s="90" t="s">
        <v>54</v>
      </c>
      <c r="B2" s="4" t="s">
        <v>55</v>
      </c>
      <c r="C2" s="4"/>
      <c r="D2" s="5" t="s">
        <v>56</v>
      </c>
      <c r="E2" s="5"/>
      <c r="F2" s="5" t="s">
        <v>57</v>
      </c>
      <c r="G2" s="7">
        <v>7</v>
      </c>
    </row>
    <row r="3" spans="1:8" ht="16" x14ac:dyDescent="0.2">
      <c r="A3" s="90"/>
      <c r="B3" s="4" t="s">
        <v>58</v>
      </c>
      <c r="C3" s="4"/>
      <c r="D3" s="5" t="s">
        <v>59</v>
      </c>
      <c r="E3" s="5"/>
      <c r="F3" s="5" t="s">
        <v>57</v>
      </c>
      <c r="G3" s="7">
        <v>7</v>
      </c>
    </row>
    <row r="4" spans="1:8" ht="16" x14ac:dyDescent="0.2">
      <c r="A4" s="90"/>
      <c r="B4" s="4" t="s">
        <v>60</v>
      </c>
      <c r="C4" s="4"/>
      <c r="D4" s="5" t="s">
        <v>61</v>
      </c>
      <c r="E4" s="5"/>
      <c r="F4" s="5" t="s">
        <v>57</v>
      </c>
      <c r="G4" s="7">
        <v>7</v>
      </c>
    </row>
    <row r="5" spans="1:8" ht="48" x14ac:dyDescent="0.2">
      <c r="A5" s="90"/>
      <c r="B5" s="4" t="s">
        <v>62</v>
      </c>
      <c r="C5" s="4"/>
      <c r="D5" s="5" t="s">
        <v>63</v>
      </c>
      <c r="E5" s="5"/>
      <c r="F5" s="5" t="s">
        <v>26</v>
      </c>
      <c r="G5" s="7">
        <v>7</v>
      </c>
    </row>
    <row r="6" spans="1:8" ht="16" x14ac:dyDescent="0.2">
      <c r="A6" s="90"/>
      <c r="B6" s="4" t="s">
        <v>64</v>
      </c>
      <c r="C6" s="4"/>
      <c r="D6" s="5" t="s">
        <v>65</v>
      </c>
      <c r="E6" s="5"/>
      <c r="F6" s="5" t="s">
        <v>66</v>
      </c>
      <c r="G6" s="7">
        <v>7</v>
      </c>
    </row>
    <row r="7" spans="1:8" ht="32" x14ac:dyDescent="0.2">
      <c r="A7" s="90"/>
      <c r="B7" s="6" t="s">
        <v>67</v>
      </c>
      <c r="C7" s="4"/>
      <c r="D7" s="5" t="s">
        <v>68</v>
      </c>
      <c r="E7" s="5" t="s">
        <v>69</v>
      </c>
      <c r="F7" s="5" t="s">
        <v>70</v>
      </c>
      <c r="G7" s="7">
        <v>7</v>
      </c>
    </row>
    <row r="8" spans="1:8" ht="32" x14ac:dyDescent="0.2">
      <c r="A8" s="90"/>
      <c r="B8" s="6" t="s">
        <v>71</v>
      </c>
      <c r="C8" s="4"/>
      <c r="D8" s="5" t="s">
        <v>72</v>
      </c>
      <c r="E8" s="5"/>
      <c r="F8" s="5" t="s">
        <v>70</v>
      </c>
      <c r="G8" s="7">
        <v>7</v>
      </c>
    </row>
    <row r="9" spans="1:8" ht="32" x14ac:dyDescent="0.2">
      <c r="A9" s="90"/>
      <c r="B9" s="6" t="s">
        <v>73</v>
      </c>
      <c r="C9" s="4"/>
      <c r="D9" s="5" t="s">
        <v>74</v>
      </c>
      <c r="E9" s="5"/>
      <c r="F9" s="5" t="s">
        <v>57</v>
      </c>
      <c r="G9" s="7"/>
    </row>
    <row r="10" spans="1:8" ht="32" x14ac:dyDescent="0.2">
      <c r="A10" s="90"/>
      <c r="B10" s="6" t="s">
        <v>75</v>
      </c>
      <c r="C10" s="4"/>
      <c r="D10" s="5" t="s">
        <v>76</v>
      </c>
      <c r="E10" s="5"/>
      <c r="F10" s="5" t="s">
        <v>26</v>
      </c>
      <c r="G10" s="7"/>
    </row>
    <row r="11" spans="1:8" ht="32" x14ac:dyDescent="0.2">
      <c r="A11" s="90"/>
      <c r="B11" s="6" t="s">
        <v>77</v>
      </c>
      <c r="C11" s="4"/>
      <c r="D11" s="5" t="s">
        <v>78</v>
      </c>
      <c r="E11" s="5"/>
      <c r="F11" s="5" t="s">
        <v>57</v>
      </c>
      <c r="G11" s="7"/>
    </row>
    <row r="12" spans="1:8" ht="80" x14ac:dyDescent="0.2">
      <c r="A12" s="90"/>
      <c r="B12" s="6" t="s">
        <v>79</v>
      </c>
      <c r="C12" s="4"/>
      <c r="D12" s="5" t="s">
        <v>80</v>
      </c>
      <c r="E12" s="5" t="s">
        <v>81</v>
      </c>
      <c r="F12" s="5" t="s">
        <v>57</v>
      </c>
      <c r="G12" s="7"/>
    </row>
    <row r="13" spans="1:8" ht="227.25" customHeight="1" x14ac:dyDescent="0.2">
      <c r="A13" s="90"/>
      <c r="B13" s="6" t="s">
        <v>82</v>
      </c>
      <c r="C13" s="4"/>
      <c r="D13" s="5" t="s">
        <v>83</v>
      </c>
      <c r="E13" s="5" t="s">
        <v>84</v>
      </c>
      <c r="F13" s="5" t="s">
        <v>70</v>
      </c>
      <c r="G13" s="40" t="s">
        <v>85</v>
      </c>
    </row>
    <row r="14" spans="1:8" ht="350" x14ac:dyDescent="0.2">
      <c r="A14" s="90"/>
      <c r="B14" s="6" t="s">
        <v>86</v>
      </c>
      <c r="C14" s="4"/>
      <c r="D14" s="5" t="s">
        <v>87</v>
      </c>
      <c r="E14" s="5" t="s">
        <v>88</v>
      </c>
      <c r="F14" s="5" t="s">
        <v>70</v>
      </c>
      <c r="G14" s="40" t="s">
        <v>85</v>
      </c>
    </row>
    <row r="15" spans="1:8" ht="96" x14ac:dyDescent="0.2">
      <c r="A15" s="90"/>
      <c r="B15" s="6" t="s">
        <v>89</v>
      </c>
      <c r="C15" s="4"/>
      <c r="D15" s="5" t="s">
        <v>90</v>
      </c>
      <c r="E15" s="5" t="s">
        <v>91</v>
      </c>
      <c r="F15" s="5" t="s">
        <v>70</v>
      </c>
      <c r="G15" s="7"/>
    </row>
    <row r="16" spans="1:8" ht="34.5" customHeight="1" x14ac:dyDescent="0.2">
      <c r="A16" s="91" t="s">
        <v>92</v>
      </c>
      <c r="B16" s="6" t="s">
        <v>93</v>
      </c>
      <c r="C16" s="4"/>
      <c r="D16" s="19" t="s">
        <v>94</v>
      </c>
      <c r="E16" s="5" t="s">
        <v>95</v>
      </c>
      <c r="F16" s="5" t="s">
        <v>70</v>
      </c>
      <c r="G16" s="7"/>
    </row>
    <row r="17" spans="1:8" ht="104.25" customHeight="1" x14ac:dyDescent="0.2">
      <c r="A17" s="91"/>
      <c r="B17" s="6" t="s">
        <v>96</v>
      </c>
      <c r="C17" s="4"/>
      <c r="D17" s="51" t="s">
        <v>97</v>
      </c>
      <c r="E17" s="92" t="s">
        <v>98</v>
      </c>
      <c r="F17" s="5" t="s">
        <v>99</v>
      </c>
      <c r="G17" s="8">
        <v>8</v>
      </c>
    </row>
    <row r="18" spans="1:8" ht="32" x14ac:dyDescent="0.2">
      <c r="A18" s="91"/>
      <c r="B18" s="6" t="s">
        <v>100</v>
      </c>
      <c r="C18" s="4"/>
      <c r="D18" s="51" t="s">
        <v>101</v>
      </c>
      <c r="E18" s="92"/>
      <c r="F18" s="5" t="s">
        <v>70</v>
      </c>
      <c r="G18" s="7"/>
    </row>
    <row r="19" spans="1:8" ht="80.25" hidden="1" customHeight="1" x14ac:dyDescent="0.2">
      <c r="A19" s="91"/>
      <c r="B19" s="6" t="s">
        <v>102</v>
      </c>
      <c r="C19" s="4"/>
      <c r="D19" s="63" t="s">
        <v>103</v>
      </c>
      <c r="E19" s="63" t="s">
        <v>104</v>
      </c>
      <c r="F19" s="5" t="s">
        <v>70</v>
      </c>
      <c r="G19" s="7"/>
      <c r="H19" s="15" t="s">
        <v>105</v>
      </c>
    </row>
    <row r="20" spans="1:8" ht="64" x14ac:dyDescent="0.2">
      <c r="A20" s="91"/>
      <c r="B20" s="4" t="s">
        <v>106</v>
      </c>
      <c r="C20" s="4" t="s">
        <v>107</v>
      </c>
      <c r="D20" s="51" t="s">
        <v>108</v>
      </c>
      <c r="E20" s="51" t="s">
        <v>109</v>
      </c>
      <c r="F20" s="5" t="s">
        <v>99</v>
      </c>
      <c r="G20" s="7">
        <v>1</v>
      </c>
      <c r="H20" s="16"/>
    </row>
    <row r="21" spans="1:8" ht="72.75" customHeight="1" x14ac:dyDescent="0.2">
      <c r="A21" s="91"/>
      <c r="B21" s="4" t="s">
        <v>106</v>
      </c>
      <c r="C21" s="4" t="s">
        <v>110</v>
      </c>
      <c r="D21" s="63" t="s">
        <v>111</v>
      </c>
      <c r="E21" s="63" t="s">
        <v>112</v>
      </c>
      <c r="F21" s="5" t="s">
        <v>99</v>
      </c>
      <c r="G21" s="7">
        <v>2</v>
      </c>
      <c r="H21" s="16"/>
    </row>
    <row r="22" spans="1:8" ht="80" x14ac:dyDescent="0.2">
      <c r="A22" s="91"/>
      <c r="B22" s="4" t="s">
        <v>106</v>
      </c>
      <c r="C22" s="4" t="s">
        <v>113</v>
      </c>
      <c r="D22" s="5" t="s">
        <v>114</v>
      </c>
      <c r="E22" s="51" t="s">
        <v>115</v>
      </c>
      <c r="F22" s="5" t="s">
        <v>99</v>
      </c>
      <c r="G22" s="7">
        <v>1</v>
      </c>
      <c r="H22" s="16"/>
    </row>
    <row r="23" spans="1:8" ht="48" x14ac:dyDescent="0.2">
      <c r="A23" s="91"/>
      <c r="B23" s="6" t="s">
        <v>116</v>
      </c>
      <c r="C23" s="4"/>
      <c r="D23" s="5" t="s">
        <v>117</v>
      </c>
      <c r="E23" s="5" t="s">
        <v>118</v>
      </c>
      <c r="F23" s="5" t="s">
        <v>70</v>
      </c>
      <c r="G23" s="7"/>
      <c r="H23" s="16"/>
    </row>
    <row r="24" spans="1:8" ht="32" x14ac:dyDescent="0.2">
      <c r="A24" s="91"/>
      <c r="B24" s="6" t="s">
        <v>119</v>
      </c>
      <c r="C24" s="4"/>
      <c r="D24" s="5" t="s">
        <v>120</v>
      </c>
      <c r="E24" s="5" t="s">
        <v>121</v>
      </c>
      <c r="F24" s="5" t="s">
        <v>122</v>
      </c>
      <c r="G24" s="7"/>
      <c r="H24" s="16"/>
    </row>
    <row r="25" spans="1:8" ht="72.75" customHeight="1" x14ac:dyDescent="0.2">
      <c r="A25" s="91"/>
      <c r="B25" s="6" t="s">
        <v>123</v>
      </c>
      <c r="C25" s="4"/>
      <c r="D25" s="5" t="s">
        <v>124</v>
      </c>
      <c r="E25" s="5" t="s">
        <v>125</v>
      </c>
      <c r="F25" s="5" t="s">
        <v>57</v>
      </c>
      <c r="G25" s="7">
        <v>6</v>
      </c>
      <c r="H25" s="16"/>
    </row>
    <row r="26" spans="1:8" ht="32" x14ac:dyDescent="0.2">
      <c r="A26" s="91"/>
      <c r="B26" s="6" t="s">
        <v>126</v>
      </c>
      <c r="C26" s="4"/>
      <c r="D26" s="5" t="s">
        <v>127</v>
      </c>
      <c r="E26" s="5"/>
      <c r="F26" s="5" t="s">
        <v>57</v>
      </c>
      <c r="G26" s="7" t="s">
        <v>128</v>
      </c>
      <c r="H26" s="16"/>
    </row>
    <row r="27" spans="1:8" ht="142.5" customHeight="1" x14ac:dyDescent="0.2">
      <c r="A27" s="91"/>
      <c r="B27" s="6" t="s">
        <v>129</v>
      </c>
      <c r="C27" s="4"/>
      <c r="D27" s="5" t="s">
        <v>130</v>
      </c>
      <c r="E27" s="17" t="s">
        <v>131</v>
      </c>
      <c r="F27" s="17" t="s">
        <v>70</v>
      </c>
      <c r="G27" s="7"/>
      <c r="H27" s="18" t="s">
        <v>132</v>
      </c>
    </row>
    <row r="28" spans="1:8" x14ac:dyDescent="0.2">
      <c r="B28" s="6"/>
      <c r="C28" s="4"/>
      <c r="E28" s="5"/>
      <c r="F28" s="5"/>
      <c r="G28" s="7"/>
      <c r="H28" s="16"/>
    </row>
  </sheetData>
  <mergeCells count="3">
    <mergeCell ref="A2:A15"/>
    <mergeCell ref="A16:A27"/>
    <mergeCell ref="E17:E18"/>
  </mergeCells>
  <hyperlinks>
    <hyperlink ref="G17" r:id="rId1" display="Link to Nottingham EDI cards" xr:uid="{2D7BFC5C-F3DD-4726-83E2-C42C5ABF8B8B}"/>
    <hyperlink ref="G1" location="'6_References'!A1" display="References" xr:uid="{423FBDA5-0955-4056-97B6-9A9F964E5ADE}"/>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F9EFD-C9E7-4853-93C8-B510C80CEA1B}">
  <sheetPr codeName="Sheet6">
    <tabColor rgb="FFFFFF00"/>
  </sheetPr>
  <dimension ref="A1:X11"/>
  <sheetViews>
    <sheetView zoomScale="115" zoomScaleNormal="115" workbookViewId="0">
      <pane xSplit="2" ySplit="1" topLeftCell="T4" activePane="bottomRight" state="frozen"/>
      <selection pane="topRight" activeCell="C5" sqref="C5"/>
      <selection pane="bottomLeft" activeCell="C5" sqref="C5"/>
      <selection pane="bottomRight" activeCell="T4" sqref="T4"/>
    </sheetView>
  </sheetViews>
  <sheetFormatPr baseColWidth="10" defaultColWidth="8.83203125" defaultRowHeight="15" x14ac:dyDescent="0.2"/>
  <cols>
    <col min="1" max="1" width="3.5" customWidth="1"/>
    <col min="2" max="2" width="24.1640625" style="2" customWidth="1"/>
    <col min="3" max="3" width="18.6640625" style="3" customWidth="1"/>
    <col min="4" max="4" width="18.5" style="3" customWidth="1"/>
    <col min="5" max="5" width="13.6640625" style="3" customWidth="1"/>
    <col min="6" max="7" width="9.1640625" style="3" customWidth="1"/>
    <col min="8" max="8" width="17.5" style="3" bestFit="1" customWidth="1"/>
    <col min="9" max="9" width="12.1640625" style="3" customWidth="1"/>
    <col min="10" max="10" width="9.1640625" style="3" customWidth="1"/>
    <col min="11" max="11" width="12.5" style="3" customWidth="1"/>
    <col min="12" max="12" width="20.83203125" style="3" bestFit="1" customWidth="1"/>
    <col min="13" max="13" width="14.5" style="3" customWidth="1"/>
    <col min="14" max="14" width="10.5" style="3" customWidth="1"/>
    <col min="15" max="15" width="14.1640625" style="3" customWidth="1"/>
    <col min="16" max="16" width="12.5" style="3" customWidth="1"/>
    <col min="17" max="17" width="20.6640625" style="3" customWidth="1"/>
    <col min="18" max="18" width="19.5" style="3" customWidth="1"/>
    <col min="19" max="19" width="23.5" style="3" customWidth="1"/>
    <col min="20" max="20" width="24.33203125" style="3" customWidth="1"/>
    <col min="21" max="21" width="29.5" style="3" customWidth="1"/>
    <col min="22" max="22" width="19.5" style="3" customWidth="1"/>
    <col min="23" max="23" width="13.5" style="3" customWidth="1"/>
    <col min="24" max="24" width="17.83203125" style="3" customWidth="1"/>
  </cols>
  <sheetData>
    <row r="1" spans="1:24" s="2" customFormat="1" ht="33.75" customHeight="1" x14ac:dyDescent="0.2">
      <c r="A1" s="2" t="s">
        <v>133</v>
      </c>
      <c r="B1" s="2" t="s">
        <v>55</v>
      </c>
      <c r="C1" s="4" t="s">
        <v>58</v>
      </c>
      <c r="D1" s="4" t="s">
        <v>60</v>
      </c>
      <c r="E1" s="4" t="s">
        <v>64</v>
      </c>
      <c r="F1" s="2" t="s">
        <v>67</v>
      </c>
      <c r="G1" s="2" t="s">
        <v>71</v>
      </c>
      <c r="H1" s="2" t="s">
        <v>73</v>
      </c>
      <c r="I1" s="4" t="s">
        <v>75</v>
      </c>
      <c r="J1" s="4" t="s">
        <v>62</v>
      </c>
      <c r="K1" s="4" t="s">
        <v>77</v>
      </c>
      <c r="L1" s="2" t="s">
        <v>79</v>
      </c>
      <c r="M1" s="2" t="s">
        <v>134</v>
      </c>
      <c r="N1" s="2" t="s">
        <v>135</v>
      </c>
      <c r="O1" s="2" t="s">
        <v>100</v>
      </c>
      <c r="P1" s="2" t="s">
        <v>93</v>
      </c>
      <c r="Q1" s="2" t="s">
        <v>136</v>
      </c>
      <c r="R1" s="2" t="s">
        <v>96</v>
      </c>
      <c r="S1" s="2" t="s">
        <v>107</v>
      </c>
      <c r="T1" s="2" t="s">
        <v>110</v>
      </c>
      <c r="U1" s="2" t="s">
        <v>113</v>
      </c>
      <c r="V1" s="2" t="s">
        <v>123</v>
      </c>
      <c r="W1" s="2" t="s">
        <v>126</v>
      </c>
      <c r="X1" s="2" t="s">
        <v>129</v>
      </c>
    </row>
    <row r="2" spans="1:24" ht="73.5" customHeight="1" x14ac:dyDescent="0.2">
      <c r="A2" s="1">
        <v>9</v>
      </c>
      <c r="B2" s="10" t="s">
        <v>137</v>
      </c>
      <c r="C2" s="3" t="s">
        <v>138</v>
      </c>
      <c r="D2" s="3" t="s">
        <v>138</v>
      </c>
      <c r="E2" s="20" t="s">
        <v>139</v>
      </c>
      <c r="F2" s="3" t="s">
        <v>140</v>
      </c>
      <c r="G2" s="3" t="s">
        <v>141</v>
      </c>
      <c r="H2" s="21" t="s">
        <v>142</v>
      </c>
      <c r="I2" s="22">
        <v>45761</v>
      </c>
      <c r="J2" s="22">
        <v>44256</v>
      </c>
      <c r="K2" s="22" t="s">
        <v>143</v>
      </c>
      <c r="L2" s="39" t="s">
        <v>12</v>
      </c>
      <c r="M2" s="3" t="s">
        <v>144</v>
      </c>
      <c r="N2" s="3" t="s">
        <v>145</v>
      </c>
      <c r="O2" s="3" t="s">
        <v>146</v>
      </c>
      <c r="P2" s="3" t="s">
        <v>147</v>
      </c>
      <c r="Q2" s="3" t="s">
        <v>148</v>
      </c>
      <c r="R2" s="3" t="s">
        <v>149</v>
      </c>
      <c r="U2" s="3" t="s">
        <v>150</v>
      </c>
      <c r="V2" s="3" t="s">
        <v>142</v>
      </c>
      <c r="W2" s="3" t="s">
        <v>142</v>
      </c>
      <c r="X2" s="3" t="s">
        <v>151</v>
      </c>
    </row>
    <row r="3" spans="1:24" ht="64.5" customHeight="1" x14ac:dyDescent="0.2">
      <c r="A3" s="1">
        <v>52</v>
      </c>
      <c r="B3" s="2" t="s">
        <v>152</v>
      </c>
      <c r="C3" s="3" t="s">
        <v>153</v>
      </c>
      <c r="D3" s="3" t="s">
        <v>153</v>
      </c>
      <c r="E3" s="20" t="s">
        <v>154</v>
      </c>
      <c r="F3" s="3" t="s">
        <v>140</v>
      </c>
      <c r="G3" s="3" t="s">
        <v>141</v>
      </c>
      <c r="H3" s="21" t="s">
        <v>142</v>
      </c>
      <c r="I3" s="22">
        <v>45771</v>
      </c>
      <c r="J3" s="22">
        <f ca="1">TODAY()</f>
        <v>46058</v>
      </c>
      <c r="K3" s="22" t="s">
        <v>143</v>
      </c>
      <c r="L3" s="39" t="s">
        <v>12</v>
      </c>
      <c r="M3" s="3" t="s">
        <v>144</v>
      </c>
      <c r="N3" s="3" t="s">
        <v>155</v>
      </c>
      <c r="O3" s="3" t="s">
        <v>156</v>
      </c>
      <c r="P3" s="3" t="s">
        <v>157</v>
      </c>
      <c r="Q3" s="3" t="s">
        <v>158</v>
      </c>
      <c r="R3" s="3" t="s">
        <v>159</v>
      </c>
      <c r="S3" s="3" t="s">
        <v>160</v>
      </c>
      <c r="U3" s="3" t="s">
        <v>161</v>
      </c>
      <c r="V3" s="3" t="s">
        <v>162</v>
      </c>
      <c r="W3" s="3" t="s">
        <v>163</v>
      </c>
      <c r="X3" s="3" t="s">
        <v>151</v>
      </c>
    </row>
    <row r="4" spans="1:24" ht="115.5" customHeight="1" x14ac:dyDescent="0.2">
      <c r="A4" s="1">
        <v>54</v>
      </c>
      <c r="B4" s="10" t="s">
        <v>164</v>
      </c>
      <c r="C4" s="3" t="s">
        <v>165</v>
      </c>
      <c r="D4" s="3" t="s">
        <v>165</v>
      </c>
      <c r="E4" s="20" t="s">
        <v>166</v>
      </c>
      <c r="F4" s="3" t="s">
        <v>140</v>
      </c>
      <c r="G4" s="3" t="s">
        <v>141</v>
      </c>
      <c r="H4" s="21" t="s">
        <v>142</v>
      </c>
      <c r="I4" s="22">
        <v>45771</v>
      </c>
      <c r="J4" s="22">
        <v>45748</v>
      </c>
      <c r="K4" s="22" t="s">
        <v>143</v>
      </c>
      <c r="L4" s="39" t="s">
        <v>12</v>
      </c>
      <c r="M4" s="3" t="s">
        <v>167</v>
      </c>
      <c r="N4" s="3" t="s">
        <v>168</v>
      </c>
      <c r="O4" s="3" t="s">
        <v>156</v>
      </c>
      <c r="P4" s="3" t="s">
        <v>157</v>
      </c>
      <c r="Q4" s="3" t="s">
        <v>169</v>
      </c>
      <c r="R4" s="3" t="s">
        <v>170</v>
      </c>
      <c r="X4" s="3" t="s">
        <v>171</v>
      </c>
    </row>
    <row r="5" spans="1:24" ht="74.25" customHeight="1" x14ac:dyDescent="0.2">
      <c r="A5" s="1">
        <v>40</v>
      </c>
      <c r="B5" s="10" t="s">
        <v>172</v>
      </c>
      <c r="C5" s="3" t="s">
        <v>173</v>
      </c>
      <c r="D5" s="3" t="s">
        <v>174</v>
      </c>
      <c r="E5" s="20" t="s">
        <v>175</v>
      </c>
      <c r="F5" s="3" t="s">
        <v>140</v>
      </c>
      <c r="G5" s="3" t="s">
        <v>176</v>
      </c>
      <c r="H5" s="21" t="s">
        <v>142</v>
      </c>
      <c r="I5" s="21">
        <v>45761</v>
      </c>
      <c r="J5" s="22">
        <v>43586</v>
      </c>
      <c r="K5" s="22" t="s">
        <v>143</v>
      </c>
      <c r="L5" s="39" t="s">
        <v>177</v>
      </c>
      <c r="M5" s="3" t="s">
        <v>144</v>
      </c>
      <c r="N5" s="3" t="s">
        <v>178</v>
      </c>
      <c r="O5" s="3" t="s">
        <v>179</v>
      </c>
      <c r="P5" s="3" t="s">
        <v>180</v>
      </c>
      <c r="Q5" s="3" t="s">
        <v>181</v>
      </c>
      <c r="R5" s="3" t="s">
        <v>182</v>
      </c>
      <c r="U5" s="3" t="s">
        <v>183</v>
      </c>
      <c r="X5" s="3" t="s">
        <v>184</v>
      </c>
    </row>
    <row r="6" spans="1:24" ht="48" x14ac:dyDescent="0.2">
      <c r="A6" s="1">
        <v>47</v>
      </c>
      <c r="B6" s="10" t="s">
        <v>185</v>
      </c>
      <c r="C6" s="3" t="s">
        <v>185</v>
      </c>
      <c r="D6" s="3" t="s">
        <v>185</v>
      </c>
      <c r="E6" s="20" t="s">
        <v>186</v>
      </c>
      <c r="F6" s="3" t="s">
        <v>140</v>
      </c>
      <c r="G6" s="3" t="s">
        <v>176</v>
      </c>
      <c r="H6" s="21" t="s">
        <v>142</v>
      </c>
      <c r="I6" s="21">
        <v>45770</v>
      </c>
      <c r="J6" s="22"/>
      <c r="K6" s="22" t="s">
        <v>143</v>
      </c>
      <c r="L6" s="39" t="s">
        <v>187</v>
      </c>
      <c r="M6" s="3" t="s">
        <v>188</v>
      </c>
      <c r="N6" s="3" t="s">
        <v>145</v>
      </c>
      <c r="O6" s="3" t="s">
        <v>179</v>
      </c>
      <c r="P6" s="3" t="s">
        <v>189</v>
      </c>
      <c r="Q6" s="3" t="s">
        <v>148</v>
      </c>
      <c r="R6" s="3" t="s">
        <v>149</v>
      </c>
      <c r="U6" s="3" t="s">
        <v>190</v>
      </c>
      <c r="X6" s="3" t="s">
        <v>184</v>
      </c>
    </row>
    <row r="7" spans="1:24" ht="75" customHeight="1" x14ac:dyDescent="0.2">
      <c r="A7" s="1">
        <v>62</v>
      </c>
      <c r="B7" s="10" t="s">
        <v>191</v>
      </c>
      <c r="C7" s="3" t="s">
        <v>192</v>
      </c>
      <c r="D7" s="3" t="s">
        <v>192</v>
      </c>
      <c r="E7" s="20" t="s">
        <v>193</v>
      </c>
      <c r="F7" s="3" t="s">
        <v>140</v>
      </c>
      <c r="G7" s="3" t="s">
        <v>176</v>
      </c>
      <c r="H7" s="21" t="s">
        <v>142</v>
      </c>
      <c r="I7" s="21">
        <v>45771</v>
      </c>
      <c r="J7" s="22"/>
      <c r="K7" s="22" t="s">
        <v>143</v>
      </c>
      <c r="L7" s="39" t="s">
        <v>194</v>
      </c>
      <c r="M7" s="3" t="s">
        <v>167</v>
      </c>
      <c r="N7" s="3" t="s">
        <v>145</v>
      </c>
      <c r="O7" s="3" t="s">
        <v>195</v>
      </c>
      <c r="P7" s="3" t="s">
        <v>147</v>
      </c>
      <c r="Q7" s="3" t="s">
        <v>169</v>
      </c>
      <c r="R7" s="3" t="s">
        <v>196</v>
      </c>
      <c r="S7" s="3" t="s">
        <v>197</v>
      </c>
      <c r="T7" s="3" t="s">
        <v>198</v>
      </c>
      <c r="U7" s="3" t="s">
        <v>199</v>
      </c>
      <c r="V7" s="3" t="s">
        <v>200</v>
      </c>
      <c r="W7" s="3" t="s">
        <v>201</v>
      </c>
      <c r="X7" s="3" t="s">
        <v>151</v>
      </c>
    </row>
    <row r="8" spans="1:24" ht="80" x14ac:dyDescent="0.2">
      <c r="A8" s="1">
        <v>76</v>
      </c>
      <c r="B8" s="10" t="s">
        <v>202</v>
      </c>
      <c r="C8" s="3" t="s">
        <v>203</v>
      </c>
      <c r="D8" s="3" t="s">
        <v>203</v>
      </c>
      <c r="E8" s="20" t="s">
        <v>204</v>
      </c>
      <c r="F8" s="21" t="s">
        <v>140</v>
      </c>
      <c r="G8" s="23" t="s">
        <v>176</v>
      </c>
      <c r="H8" s="21" t="s">
        <v>142</v>
      </c>
      <c r="I8" s="21">
        <f ca="1">TODAY()</f>
        <v>46058</v>
      </c>
      <c r="J8" s="22">
        <v>44409</v>
      </c>
      <c r="K8" s="22" t="s">
        <v>143</v>
      </c>
      <c r="L8" s="39" t="s">
        <v>205</v>
      </c>
      <c r="M8" s="3" t="s">
        <v>167</v>
      </c>
      <c r="N8" s="3" t="s">
        <v>145</v>
      </c>
      <c r="O8" s="3" t="s">
        <v>157</v>
      </c>
      <c r="P8" s="3" t="s">
        <v>189</v>
      </c>
      <c r="Q8" s="3" t="s">
        <v>169</v>
      </c>
      <c r="R8" s="3" t="s">
        <v>206</v>
      </c>
      <c r="S8" s="3" t="s">
        <v>207</v>
      </c>
      <c r="V8" s="3" t="s">
        <v>208</v>
      </c>
      <c r="W8" s="3" t="s">
        <v>208</v>
      </c>
      <c r="X8" s="3" t="s">
        <v>151</v>
      </c>
    </row>
    <row r="9" spans="1:24" ht="73.5" customHeight="1" x14ac:dyDescent="0.2">
      <c r="A9" s="1">
        <v>2</v>
      </c>
      <c r="B9" s="10" t="s">
        <v>209</v>
      </c>
      <c r="C9" s="3" t="s">
        <v>210</v>
      </c>
      <c r="D9" s="3" t="s">
        <v>211</v>
      </c>
      <c r="E9" s="20" t="s">
        <v>212</v>
      </c>
      <c r="F9" s="3" t="s">
        <v>140</v>
      </c>
      <c r="G9" s="3" t="s">
        <v>213</v>
      </c>
      <c r="H9" s="21" t="s">
        <v>214</v>
      </c>
      <c r="I9" s="22">
        <v>45761</v>
      </c>
      <c r="J9" s="22">
        <v>44013</v>
      </c>
      <c r="K9" s="22" t="s">
        <v>143</v>
      </c>
      <c r="L9" s="39" t="s">
        <v>215</v>
      </c>
      <c r="M9" s="3" t="s">
        <v>216</v>
      </c>
      <c r="N9" s="3" t="s">
        <v>217</v>
      </c>
      <c r="O9" s="3" t="s">
        <v>156</v>
      </c>
      <c r="P9" s="3" t="s">
        <v>157</v>
      </c>
      <c r="Q9" s="3" t="s">
        <v>148</v>
      </c>
      <c r="R9" s="3" t="s">
        <v>218</v>
      </c>
      <c r="V9" s="3" t="s">
        <v>208</v>
      </c>
      <c r="W9" s="3" t="s">
        <v>208</v>
      </c>
      <c r="X9" s="3" t="s">
        <v>219</v>
      </c>
    </row>
    <row r="10" spans="1:24" ht="78" customHeight="1" x14ac:dyDescent="0.2">
      <c r="A10" s="1">
        <v>45</v>
      </c>
      <c r="B10" s="10" t="s">
        <v>220</v>
      </c>
      <c r="C10" s="3" t="s">
        <v>221</v>
      </c>
      <c r="D10" s="3" t="s">
        <v>222</v>
      </c>
      <c r="E10" s="20" t="s">
        <v>223</v>
      </c>
      <c r="F10" s="3" t="s">
        <v>140</v>
      </c>
      <c r="G10" s="3" t="s">
        <v>224</v>
      </c>
      <c r="H10" s="21" t="s">
        <v>214</v>
      </c>
      <c r="I10" s="21">
        <v>45761</v>
      </c>
      <c r="J10" s="21" t="s">
        <v>142</v>
      </c>
      <c r="K10" s="22" t="s">
        <v>143</v>
      </c>
      <c r="L10" s="39" t="s">
        <v>225</v>
      </c>
      <c r="M10" s="3" t="s">
        <v>216</v>
      </c>
      <c r="N10" s="3" t="s">
        <v>145</v>
      </c>
      <c r="X10" s="3" t="s">
        <v>219</v>
      </c>
    </row>
    <row r="11" spans="1:24" ht="66.75" customHeight="1" x14ac:dyDescent="0.2">
      <c r="A11" s="1">
        <v>68</v>
      </c>
      <c r="B11" s="10" t="s">
        <v>226</v>
      </c>
      <c r="C11" s="3" t="s">
        <v>227</v>
      </c>
      <c r="D11" s="3" t="s">
        <v>227</v>
      </c>
      <c r="E11" s="24" t="s">
        <v>228</v>
      </c>
      <c r="F11" s="3" t="s">
        <v>140</v>
      </c>
      <c r="G11" s="3" t="s">
        <v>176</v>
      </c>
      <c r="H11" s="21"/>
      <c r="I11" s="21">
        <v>45771</v>
      </c>
      <c r="J11" s="22" t="s">
        <v>142</v>
      </c>
      <c r="K11" s="22" t="s">
        <v>143</v>
      </c>
      <c r="L11" s="39" t="s">
        <v>229</v>
      </c>
      <c r="M11" s="3" t="s">
        <v>167</v>
      </c>
      <c r="N11" s="3" t="s">
        <v>145</v>
      </c>
      <c r="O11" s="3" t="s">
        <v>156</v>
      </c>
      <c r="P11" s="3" t="s">
        <v>189</v>
      </c>
      <c r="Q11" s="3" t="s">
        <v>148</v>
      </c>
      <c r="R11" s="3" t="s">
        <v>230</v>
      </c>
      <c r="U11" s="3" t="s">
        <v>231</v>
      </c>
      <c r="V11" s="3" t="s">
        <v>208</v>
      </c>
      <c r="W11" s="3" t="s">
        <v>208</v>
      </c>
      <c r="X11" s="3" t="s">
        <v>184</v>
      </c>
    </row>
  </sheetData>
  <conditionalFormatting sqref="G2:G1048576">
    <cfRule type="containsText" dxfId="46" priority="3" stopIfTrue="1" operator="containsText" text="Included ">
      <formula>NOT(ISERROR(SEARCH("Included ",G2)))</formula>
    </cfRule>
    <cfRule type="containsText" dxfId="45" priority="4" operator="containsText" text="Excluded">
      <formula>NOT(ISERROR(SEARCH("Excluded",G2)))</formula>
    </cfRule>
  </conditionalFormatting>
  <conditionalFormatting sqref="G3:G11">
    <cfRule type="cellIs" dxfId="44" priority="1" operator="equal">
      <formula>"Included"</formula>
    </cfRule>
    <cfRule type="cellIs" dxfId="43" priority="2" operator="equal">
      <formula>"Excluded"</formula>
    </cfRule>
  </conditionalFormatting>
  <hyperlinks>
    <hyperlink ref="E6" r:id="rId1" xr:uid="{BB71CB26-33F2-40D7-B1D4-CB6B9E9993BC}"/>
    <hyperlink ref="E4" r:id="rId2" xr:uid="{A234CC72-19C8-41EB-B9D5-A33DB3D34E8C}"/>
    <hyperlink ref="E2" r:id="rId3" xr:uid="{92ED6FD0-4720-46B2-9CC8-B3F58D8A0E54}"/>
    <hyperlink ref="E9" r:id="rId4" xr:uid="{AB7ED311-A5E4-4319-B0D9-EDD90E80AA03}"/>
    <hyperlink ref="L2" location="'3b_Summaries_copilot'!C3" display="3b_Summaries_copilot" xr:uid="{05F6BC8A-93F6-4857-942D-59A21743BBD6}"/>
    <hyperlink ref="L3" location="'3b_Summaries_copilot'!C4" display="3b_Summaries_copilot" xr:uid="{93611864-B86E-4B99-BC6E-A3D46A03AB28}"/>
    <hyperlink ref="L4" location="'3b_Summaries_copilot'!C5" display="3b_Summaries_copilot" xr:uid="{A9CEE811-AD65-4A61-9EE5-7D81F29E328F}"/>
    <hyperlink ref="L5" location="'3b_Summaries_copilot'!C6" display="'3b_Summaries_copilot'!C6" xr:uid="{4CAF2E51-11C2-41EB-9C70-6C8E2190EE15}"/>
    <hyperlink ref="L6" location="'3b_Summaries_copilot'!C7" display="'3b_Summaries_copilot'!C7" xr:uid="{679CD1DB-D315-418A-AE20-58230A8F860F}"/>
    <hyperlink ref="L7" location="'3b_Summaries_copilot'!C8" display="'3b_Summaries_copilot'!C8" xr:uid="{518E8003-C643-440A-9C03-ED11B9450111}"/>
    <hyperlink ref="L8" location="'3b_Summaries_copilot'!C9" display="'3b_Summaries_copilot'!C9" xr:uid="{00B96E3C-832F-4CA7-95CE-CD32F9E8BC31}"/>
    <hyperlink ref="L9" location="'3b_Summaries_copilot'!C10" display="'3b_Summaries_copilot'!C10" xr:uid="{23E7463E-DB73-4032-8C86-B0C86B5E2BE5}"/>
    <hyperlink ref="L10" location="'3b_Summaries_copilot'!C11" display="'3b_Summaries_copilot'!C11" xr:uid="{9B932A58-82F1-4322-AECD-FAD51DCFB244}"/>
    <hyperlink ref="L11" location="'3b_Summaries_copilot'!C12" display="'3b_Summaries_copilot'!C12" xr:uid="{BEB3A9B1-302C-4D34-83E6-3FA857A45231}"/>
  </hyperlinks>
  <pageMargins left="0.7" right="0.7" top="0.75" bottom="0.75" header="0.3" footer="0.3"/>
  <tableParts count="1">
    <tablePart r:id="rId5"/>
  </tableParts>
  <extLst>
    <ext xmlns:x14="http://schemas.microsoft.com/office/spreadsheetml/2009/9/main" uri="{CCE6A557-97BC-4b89-ADB6-D9C93CAAB3DF}">
      <x14:dataValidations xmlns:xm="http://schemas.microsoft.com/office/excel/2006/main" count="9">
        <x14:dataValidation type="list" errorStyle="information" allowBlank="1" showInputMessage="1" showErrorMessage="1" errorTitle="New data entry" error="Value currently not in taxonomy options." xr:uid="{CFC6B00D-89CD-4485-A85B-07AAA81B85FE}">
          <x14:formula1>
            <xm:f>'4_Taxonomy Options'!$F$4:$F$16</xm:f>
          </x14:formula1>
          <xm:sqref>Q12:Q1048576 P2:P11 R1</xm:sqref>
        </x14:dataValidation>
        <x14:dataValidation type="list" allowBlank="1" showInputMessage="1" showErrorMessage="1" xr:uid="{49698A01-2194-431F-B3A6-DBC1C4A4FA33}">
          <x14:formula1>
            <xm:f>'4_Taxonomy Options'!#REF!</xm:f>
          </x14:formula1>
          <xm:sqref>T2:T4 R2 Q9:Q11 Q2:Q3 Q5 U2</xm:sqref>
        </x14:dataValidation>
        <x14:dataValidation type="list" allowBlank="1" showInputMessage="1" showErrorMessage="1" xr:uid="{A0922079-8B5F-4167-84AB-1D789EB5FFBF}">
          <x14:formula1>
            <xm:f>'4_Taxonomy Options'!$A$4:$A$18</xm:f>
          </x14:formula1>
          <xm:sqref>M2:M11</xm:sqref>
        </x14:dataValidation>
        <x14:dataValidation type="list" allowBlank="1" showInputMessage="1" showErrorMessage="1" xr:uid="{F4D14BCA-F1A3-4403-BE3E-EE6A1CF899D7}">
          <x14:formula1>
            <xm:f>'4_Taxonomy Options'!$B$4:$B$24</xm:f>
          </x14:formula1>
          <xm:sqref>N2:P11</xm:sqref>
        </x14:dataValidation>
        <x14:dataValidation type="list" errorStyle="information" allowBlank="1" showInputMessage="1" showErrorMessage="1" xr:uid="{C113967E-B7E1-41E6-9754-377C2785228C}">
          <x14:formula1>
            <xm:f>'4_Taxonomy Options'!#REF!</xm:f>
          </x14:formula1>
          <xm:sqref>R3:R11</xm:sqref>
        </x14:dataValidation>
        <x14:dataValidation type="list" errorStyle="information" allowBlank="1" showInputMessage="1" showErrorMessage="1" errorTitle="New Data Entry" error="Value not in current taxonomy options." xr:uid="{B37882D8-EEB3-4A4B-AC24-3BCF6E66306A}">
          <x14:formula1>
            <xm:f>'4_Taxonomy Options'!$H$4:$H$12</xm:f>
          </x14:formula1>
          <xm:sqref>N12:P1048576 O1:P11</xm:sqref>
        </x14:dataValidation>
        <x14:dataValidation type="list" allowBlank="1" showInputMessage="1" showErrorMessage="1" xr:uid="{B51799D6-7B04-417B-B0C5-0FC9DF7183AD}">
          <x14:formula1>
            <xm:f>'4_Taxonomy Options'!$O$4:$O$19</xm:f>
          </x14:formula1>
          <xm:sqref>X9 X2:X5 X11</xm:sqref>
        </x14:dataValidation>
        <x14:dataValidation type="list" allowBlank="1" showInputMessage="1" showErrorMessage="1" xr:uid="{E9C77083-97FC-4A18-83F2-EC46D8DB97D2}">
          <x14:formula1>
            <xm:f>'4_Taxonomy Options'!$O$4:$O$10</xm:f>
          </x14:formula1>
          <xm:sqref>X7:X8 X10</xm:sqref>
        </x14:dataValidation>
        <x14:dataValidation type="list" errorStyle="information" allowBlank="1" showInputMessage="1" showErrorMessage="1" error="Selection is currently not in the selection. " xr:uid="{913A336A-97D4-4757-BD65-6EF1FC2262D8}">
          <x14:formula1>
            <xm:f>'4_Taxonomy Options'!#REF!</xm:f>
          </x14:formula1>
          <xm:sqref>U3:U11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FE9D9-E2D9-40BC-8E72-E932397AD3B9}">
  <sheetPr codeName="Sheet7">
    <tabColor rgb="FFFFFF00"/>
  </sheetPr>
  <dimension ref="A1:D13"/>
  <sheetViews>
    <sheetView workbookViewId="0">
      <selection activeCell="A2" sqref="A2"/>
    </sheetView>
  </sheetViews>
  <sheetFormatPr baseColWidth="10" defaultColWidth="8.83203125" defaultRowHeight="16" x14ac:dyDescent="0.2"/>
  <cols>
    <col min="2" max="2" width="38.83203125" style="25" customWidth="1"/>
    <col min="3" max="3" width="93" style="3" customWidth="1"/>
    <col min="4" max="4" width="38.83203125" style="9" customWidth="1"/>
  </cols>
  <sheetData>
    <row r="1" spans="1:4" x14ac:dyDescent="0.2">
      <c r="A1" s="1" t="s">
        <v>232</v>
      </c>
    </row>
    <row r="2" spans="1:4" ht="17" thickBot="1" x14ac:dyDescent="0.25">
      <c r="A2" t="s">
        <v>233</v>
      </c>
    </row>
    <row r="3" spans="1:4" ht="18" thickBot="1" x14ac:dyDescent="0.25">
      <c r="A3" s="26" t="s">
        <v>133</v>
      </c>
      <c r="B3" s="27" t="s">
        <v>55</v>
      </c>
      <c r="C3" s="26" t="s">
        <v>79</v>
      </c>
      <c r="D3" s="28" t="s">
        <v>64</v>
      </c>
    </row>
    <row r="4" spans="1:4" ht="102" x14ac:dyDescent="0.25">
      <c r="A4" s="29">
        <v>9</v>
      </c>
      <c r="B4" s="30" t="s">
        <v>137</v>
      </c>
      <c r="C4" s="31" t="s">
        <v>234</v>
      </c>
      <c r="D4" s="32" t="s">
        <v>139</v>
      </c>
    </row>
    <row r="5" spans="1:4" ht="85" x14ac:dyDescent="0.25">
      <c r="A5" s="29">
        <v>52</v>
      </c>
      <c r="B5" s="33" t="s">
        <v>152</v>
      </c>
      <c r="C5" s="31" t="s">
        <v>235</v>
      </c>
      <c r="D5" s="34" t="s">
        <v>154</v>
      </c>
    </row>
    <row r="6" spans="1:4" ht="119" x14ac:dyDescent="0.25">
      <c r="A6" s="29">
        <v>54</v>
      </c>
      <c r="B6" s="30" t="s">
        <v>164</v>
      </c>
      <c r="C6" s="31" t="s">
        <v>236</v>
      </c>
      <c r="D6" s="32" t="s">
        <v>166</v>
      </c>
    </row>
    <row r="7" spans="1:4" ht="85" x14ac:dyDescent="0.25">
      <c r="A7" s="29">
        <v>40</v>
      </c>
      <c r="B7" s="35" t="s">
        <v>172</v>
      </c>
      <c r="C7" s="31" t="s">
        <v>237</v>
      </c>
      <c r="D7" s="34" t="s">
        <v>175</v>
      </c>
    </row>
    <row r="8" spans="1:4" ht="119" x14ac:dyDescent="0.25">
      <c r="A8" s="29">
        <v>47</v>
      </c>
      <c r="B8" s="30" t="s">
        <v>185</v>
      </c>
      <c r="C8" s="31" t="s">
        <v>238</v>
      </c>
      <c r="D8" s="32" t="s">
        <v>186</v>
      </c>
    </row>
    <row r="9" spans="1:4" ht="119" x14ac:dyDescent="0.25">
      <c r="A9" s="29">
        <v>62</v>
      </c>
      <c r="B9" s="35" t="s">
        <v>191</v>
      </c>
      <c r="C9" s="31" t="s">
        <v>239</v>
      </c>
      <c r="D9" s="34" t="s">
        <v>193</v>
      </c>
    </row>
    <row r="10" spans="1:4" ht="119" x14ac:dyDescent="0.25">
      <c r="A10" s="29">
        <v>76</v>
      </c>
      <c r="B10" s="30" t="s">
        <v>202</v>
      </c>
      <c r="C10" s="31" t="s">
        <v>240</v>
      </c>
      <c r="D10" s="32" t="s">
        <v>204</v>
      </c>
    </row>
    <row r="11" spans="1:4" ht="136" x14ac:dyDescent="0.25">
      <c r="A11" s="29">
        <v>2</v>
      </c>
      <c r="B11" s="35" t="s">
        <v>209</v>
      </c>
      <c r="C11" s="31" t="s">
        <v>241</v>
      </c>
      <c r="D11" s="34" t="s">
        <v>212</v>
      </c>
    </row>
    <row r="12" spans="1:4" ht="160" x14ac:dyDescent="0.25">
      <c r="A12" s="29">
        <v>45</v>
      </c>
      <c r="B12" s="30" t="s">
        <v>220</v>
      </c>
      <c r="C12" s="31" t="s">
        <v>242</v>
      </c>
      <c r="D12" s="32" t="s">
        <v>223</v>
      </c>
    </row>
    <row r="13" spans="1:4" ht="120" thickBot="1" x14ac:dyDescent="0.3">
      <c r="A13" s="36">
        <v>68</v>
      </c>
      <c r="B13" s="37" t="s">
        <v>226</v>
      </c>
      <c r="C13" s="31" t="s">
        <v>243</v>
      </c>
      <c r="D13" s="38" t="s">
        <v>228</v>
      </c>
    </row>
  </sheetData>
  <hyperlinks>
    <hyperlink ref="D8" r:id="rId1" xr:uid="{ED0B91E6-4B08-4AB1-BD90-BDB27A3D2CBF}"/>
    <hyperlink ref="D6" r:id="rId2" xr:uid="{91C46E30-F5CE-4B1F-A35F-51797122E2A6}"/>
    <hyperlink ref="D4" r:id="rId3" xr:uid="{DAF1D45B-8BB6-4130-8EA1-00161F81681E}"/>
    <hyperlink ref="D11" r:id="rId4" xr:uid="{7F3A6A76-A6EA-4040-B25A-B2D77E97D5CF}"/>
    <hyperlink ref="D7" r:id="rId5" xr:uid="{C5F62E08-4729-4414-89CE-FCA3957A80C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CE163-CDBE-4335-A1FD-64DA21E8BC8A}">
  <sheetPr codeName="Sheet8">
    <tabColor theme="8"/>
  </sheetPr>
  <dimension ref="A1:P56"/>
  <sheetViews>
    <sheetView zoomScale="81" zoomScaleNormal="130" workbookViewId="0">
      <selection activeCell="M11" sqref="M11"/>
    </sheetView>
  </sheetViews>
  <sheetFormatPr baseColWidth="10" defaultColWidth="8.83203125" defaultRowHeight="15" x14ac:dyDescent="0.2"/>
  <cols>
    <col min="1" max="1" width="22.5" style="3" customWidth="1"/>
    <col min="2" max="5" width="21.1640625" customWidth="1"/>
    <col min="6" max="6" width="16.1640625" customWidth="1"/>
    <col min="7" max="7" width="22.5" customWidth="1"/>
    <col min="8" max="8" width="14.6640625" customWidth="1"/>
    <col min="9" max="9" width="17.5" hidden="1" customWidth="1"/>
    <col min="10" max="10" width="17.1640625" customWidth="1"/>
    <col min="11" max="11" width="27.1640625" customWidth="1"/>
    <col min="12" max="12" width="23.5" customWidth="1"/>
    <col min="13" max="13" width="22.33203125" customWidth="1"/>
    <col min="14" max="14" width="26.33203125" style="3" customWidth="1"/>
    <col min="15" max="15" width="21.5" customWidth="1"/>
  </cols>
  <sheetData>
    <row r="1" spans="1:16" ht="16" x14ac:dyDescent="0.2">
      <c r="A1" s="2" t="s">
        <v>50</v>
      </c>
    </row>
    <row r="3" spans="1:16" s="3" customFormat="1" ht="57.75" customHeight="1" x14ac:dyDescent="0.2">
      <c r="A3" s="3" t="s">
        <v>134</v>
      </c>
      <c r="B3" s="3" t="s">
        <v>244</v>
      </c>
      <c r="C3" s="47" t="s">
        <v>245</v>
      </c>
      <c r="D3" s="47" t="s">
        <v>246</v>
      </c>
      <c r="E3" s="47" t="s">
        <v>247</v>
      </c>
      <c r="F3" s="3" t="s">
        <v>248</v>
      </c>
      <c r="G3" s="3" t="s">
        <v>96</v>
      </c>
      <c r="H3" s="3" t="s">
        <v>100</v>
      </c>
      <c r="I3" s="3" t="s">
        <v>249</v>
      </c>
      <c r="J3" s="3" t="s">
        <v>107</v>
      </c>
      <c r="K3" s="3" t="s">
        <v>250</v>
      </c>
      <c r="L3" s="3" t="s">
        <v>113</v>
      </c>
      <c r="M3" s="3" t="s">
        <v>251</v>
      </c>
      <c r="N3" s="3" t="s">
        <v>126</v>
      </c>
      <c r="O3" s="3" t="s">
        <v>252</v>
      </c>
      <c r="P3" s="3" t="s">
        <v>253</v>
      </c>
    </row>
    <row r="4" spans="1:16" ht="25" customHeight="1" x14ac:dyDescent="0.2">
      <c r="A4" s="3" t="s">
        <v>254</v>
      </c>
      <c r="B4" t="s">
        <v>255</v>
      </c>
      <c r="C4" s="5" t="s">
        <v>256</v>
      </c>
      <c r="D4" t="s">
        <v>257</v>
      </c>
      <c r="E4" s="5" t="s">
        <v>145</v>
      </c>
      <c r="F4" t="s">
        <v>258</v>
      </c>
      <c r="G4" t="s">
        <v>258</v>
      </c>
      <c r="H4" t="s">
        <v>179</v>
      </c>
      <c r="I4" t="s">
        <v>259</v>
      </c>
      <c r="J4" t="s">
        <v>260</v>
      </c>
      <c r="K4" t="s">
        <v>261</v>
      </c>
      <c r="L4" t="s">
        <v>262</v>
      </c>
      <c r="M4" t="s">
        <v>263</v>
      </c>
      <c r="N4" s="3" t="s">
        <v>264</v>
      </c>
      <c r="O4" t="s">
        <v>219</v>
      </c>
      <c r="P4" t="s">
        <v>265</v>
      </c>
    </row>
    <row r="5" spans="1:16" ht="25" customHeight="1" x14ac:dyDescent="0.2">
      <c r="A5" t="s">
        <v>188</v>
      </c>
      <c r="B5" t="s">
        <v>266</v>
      </c>
      <c r="C5" t="s">
        <v>216</v>
      </c>
      <c r="D5" t="s">
        <v>267</v>
      </c>
      <c r="E5" t="s">
        <v>268</v>
      </c>
      <c r="F5" t="s">
        <v>269</v>
      </c>
      <c r="G5" t="s">
        <v>270</v>
      </c>
      <c r="H5" t="s">
        <v>146</v>
      </c>
      <c r="I5" t="s">
        <v>271</v>
      </c>
      <c r="J5" t="s">
        <v>272</v>
      </c>
      <c r="K5" t="s">
        <v>273</v>
      </c>
      <c r="L5" t="s">
        <v>274</v>
      </c>
      <c r="M5" t="s">
        <v>275</v>
      </c>
      <c r="N5" s="3" t="s">
        <v>276</v>
      </c>
      <c r="O5" t="s">
        <v>171</v>
      </c>
      <c r="P5" t="s">
        <v>277</v>
      </c>
    </row>
    <row r="6" spans="1:16" ht="25" customHeight="1" x14ac:dyDescent="0.2">
      <c r="A6" s="3" t="s">
        <v>278</v>
      </c>
      <c r="B6" t="s">
        <v>168</v>
      </c>
      <c r="C6" t="s">
        <v>279</v>
      </c>
      <c r="D6" t="s">
        <v>280</v>
      </c>
      <c r="E6" t="s">
        <v>217</v>
      </c>
      <c r="F6" t="s">
        <v>157</v>
      </c>
      <c r="G6" t="s">
        <v>281</v>
      </c>
      <c r="H6" t="s">
        <v>282</v>
      </c>
      <c r="I6" t="s">
        <v>283</v>
      </c>
      <c r="J6" t="s">
        <v>284</v>
      </c>
      <c r="K6" t="s">
        <v>285</v>
      </c>
      <c r="L6" t="s">
        <v>286</v>
      </c>
      <c r="M6" t="s">
        <v>208</v>
      </c>
      <c r="N6" s="3" t="s">
        <v>287</v>
      </c>
      <c r="O6" t="s">
        <v>151</v>
      </c>
      <c r="P6" t="s">
        <v>288</v>
      </c>
    </row>
    <row r="7" spans="1:16" ht="25" customHeight="1" x14ac:dyDescent="0.2">
      <c r="A7" t="s">
        <v>144</v>
      </c>
      <c r="B7" t="s">
        <v>289</v>
      </c>
      <c r="C7" t="s">
        <v>290</v>
      </c>
      <c r="D7" t="s">
        <v>291</v>
      </c>
      <c r="E7" t="s">
        <v>266</v>
      </c>
      <c r="F7" t="s">
        <v>180</v>
      </c>
      <c r="G7" t="s">
        <v>292</v>
      </c>
      <c r="H7" t="s">
        <v>258</v>
      </c>
      <c r="I7" t="s">
        <v>293</v>
      </c>
      <c r="J7" t="s">
        <v>294</v>
      </c>
      <c r="K7" t="s">
        <v>295</v>
      </c>
      <c r="L7" t="s">
        <v>296</v>
      </c>
      <c r="M7" t="s">
        <v>297</v>
      </c>
      <c r="N7" s="3" t="s">
        <v>298</v>
      </c>
      <c r="O7" t="s">
        <v>184</v>
      </c>
      <c r="P7" t="s">
        <v>299</v>
      </c>
    </row>
    <row r="8" spans="1:16" ht="25" customHeight="1" x14ac:dyDescent="0.2">
      <c r="A8" s="3" t="s">
        <v>300</v>
      </c>
      <c r="B8" t="s">
        <v>301</v>
      </c>
      <c r="C8" t="s">
        <v>302</v>
      </c>
      <c r="D8" t="s">
        <v>303</v>
      </c>
      <c r="E8" t="s">
        <v>304</v>
      </c>
      <c r="F8" t="s">
        <v>305</v>
      </c>
      <c r="G8" t="s">
        <v>306</v>
      </c>
      <c r="H8" t="s">
        <v>156</v>
      </c>
      <c r="I8" t="s">
        <v>158</v>
      </c>
      <c r="J8" t="s">
        <v>307</v>
      </c>
      <c r="K8" t="s">
        <v>308</v>
      </c>
      <c r="L8" t="s">
        <v>309</v>
      </c>
      <c r="M8" t="s">
        <v>310</v>
      </c>
      <c r="N8" s="3" t="s">
        <v>311</v>
      </c>
      <c r="O8" t="s">
        <v>312</v>
      </c>
      <c r="P8" t="s">
        <v>313</v>
      </c>
    </row>
    <row r="9" spans="1:16" ht="25" customHeight="1" x14ac:dyDescent="0.2">
      <c r="A9" s="3" t="s">
        <v>314</v>
      </c>
      <c r="B9" t="s">
        <v>155</v>
      </c>
      <c r="C9" t="s">
        <v>315</v>
      </c>
      <c r="D9" t="s">
        <v>168</v>
      </c>
      <c r="E9" t="s">
        <v>316</v>
      </c>
      <c r="G9" t="s">
        <v>149</v>
      </c>
      <c r="H9" t="s">
        <v>157</v>
      </c>
      <c r="I9" t="s">
        <v>317</v>
      </c>
      <c r="J9" t="s">
        <v>318</v>
      </c>
      <c r="K9" t="s">
        <v>319</v>
      </c>
      <c r="L9" t="s">
        <v>320</v>
      </c>
      <c r="M9" t="s">
        <v>162</v>
      </c>
      <c r="N9" s="3" t="s">
        <v>321</v>
      </c>
      <c r="O9" t="s">
        <v>322</v>
      </c>
      <c r="P9" t="s">
        <v>323</v>
      </c>
    </row>
    <row r="10" spans="1:16" ht="25" customHeight="1" x14ac:dyDescent="0.2">
      <c r="A10" t="s">
        <v>324</v>
      </c>
      <c r="B10" t="s">
        <v>145</v>
      </c>
      <c r="C10" t="s">
        <v>325</v>
      </c>
      <c r="D10" t="s">
        <v>326</v>
      </c>
      <c r="F10" t="s">
        <v>327</v>
      </c>
      <c r="G10" t="s">
        <v>328</v>
      </c>
      <c r="I10" t="s">
        <v>329</v>
      </c>
      <c r="J10" t="s">
        <v>330</v>
      </c>
      <c r="K10" t="s">
        <v>331</v>
      </c>
      <c r="L10" t="s">
        <v>332</v>
      </c>
      <c r="M10" t="s">
        <v>333</v>
      </c>
      <c r="N10" s="3" t="s">
        <v>334</v>
      </c>
      <c r="P10" t="s">
        <v>335</v>
      </c>
    </row>
    <row r="11" spans="1:16" ht="25" customHeight="1" x14ac:dyDescent="0.2">
      <c r="A11" s="3" t="s">
        <v>305</v>
      </c>
      <c r="B11" t="s">
        <v>336</v>
      </c>
      <c r="C11" t="s">
        <v>157</v>
      </c>
      <c r="D11" t="s">
        <v>314</v>
      </c>
      <c r="F11" t="s">
        <v>337</v>
      </c>
      <c r="G11" t="s">
        <v>338</v>
      </c>
      <c r="I11" t="s">
        <v>339</v>
      </c>
      <c r="J11" t="s">
        <v>340</v>
      </c>
      <c r="K11" t="s">
        <v>341</v>
      </c>
      <c r="L11" t="s">
        <v>342</v>
      </c>
      <c r="M11" t="s">
        <v>343</v>
      </c>
      <c r="N11" s="3" t="s">
        <v>344</v>
      </c>
      <c r="P11" t="s">
        <v>345</v>
      </c>
    </row>
    <row r="12" spans="1:16" ht="25" customHeight="1" x14ac:dyDescent="0.2">
      <c r="A12" t="s">
        <v>346</v>
      </c>
      <c r="B12" t="s">
        <v>217</v>
      </c>
      <c r="D12" t="s">
        <v>347</v>
      </c>
      <c r="F12" t="s">
        <v>189</v>
      </c>
      <c r="G12" t="s">
        <v>348</v>
      </c>
      <c r="I12" t="s">
        <v>349</v>
      </c>
      <c r="J12" t="s">
        <v>350</v>
      </c>
      <c r="K12" t="s">
        <v>351</v>
      </c>
      <c r="L12" t="s">
        <v>352</v>
      </c>
      <c r="M12" t="s">
        <v>353</v>
      </c>
      <c r="N12" s="3" t="s">
        <v>354</v>
      </c>
      <c r="P12" t="s">
        <v>355</v>
      </c>
    </row>
    <row r="13" spans="1:16" ht="25" customHeight="1" x14ac:dyDescent="0.2">
      <c r="A13" s="3" t="s">
        <v>167</v>
      </c>
      <c r="B13" t="s">
        <v>268</v>
      </c>
      <c r="D13" t="s">
        <v>356</v>
      </c>
      <c r="F13" t="s">
        <v>357</v>
      </c>
      <c r="G13" t="s">
        <v>358</v>
      </c>
      <c r="I13" t="s">
        <v>359</v>
      </c>
      <c r="J13" t="s">
        <v>360</v>
      </c>
      <c r="K13" t="s">
        <v>361</v>
      </c>
      <c r="L13" t="s">
        <v>362</v>
      </c>
      <c r="M13" t="s">
        <v>363</v>
      </c>
      <c r="N13" s="3" t="s">
        <v>364</v>
      </c>
      <c r="P13" t="s">
        <v>365</v>
      </c>
    </row>
    <row r="14" spans="1:16" ht="25" customHeight="1" x14ac:dyDescent="0.2">
      <c r="A14" t="s">
        <v>216</v>
      </c>
      <c r="B14" t="s">
        <v>347</v>
      </c>
      <c r="D14" t="s">
        <v>366</v>
      </c>
      <c r="F14" t="s">
        <v>367</v>
      </c>
      <c r="G14" t="s">
        <v>368</v>
      </c>
      <c r="I14" t="s">
        <v>369</v>
      </c>
      <c r="J14" t="s">
        <v>370</v>
      </c>
      <c r="K14" t="s">
        <v>371</v>
      </c>
      <c r="L14" t="s">
        <v>372</v>
      </c>
      <c r="M14" t="s">
        <v>373</v>
      </c>
      <c r="N14" s="3" t="s">
        <v>374</v>
      </c>
      <c r="P14" t="s">
        <v>375</v>
      </c>
    </row>
    <row r="15" spans="1:16" ht="25" customHeight="1" x14ac:dyDescent="0.2">
      <c r="A15" t="s">
        <v>157</v>
      </c>
      <c r="D15" t="s">
        <v>289</v>
      </c>
      <c r="G15" t="s">
        <v>376</v>
      </c>
      <c r="I15" t="s">
        <v>181</v>
      </c>
      <c r="J15" t="s">
        <v>377</v>
      </c>
      <c r="K15" t="s">
        <v>378</v>
      </c>
      <c r="L15" t="s">
        <v>379</v>
      </c>
      <c r="P15" t="s">
        <v>380</v>
      </c>
    </row>
    <row r="16" spans="1:16" ht="25" customHeight="1" x14ac:dyDescent="0.2">
      <c r="A16"/>
      <c r="D16" t="s">
        <v>381</v>
      </c>
      <c r="G16" t="s">
        <v>382</v>
      </c>
      <c r="I16" t="s">
        <v>148</v>
      </c>
      <c r="J16" t="s">
        <v>383</v>
      </c>
      <c r="K16" t="s">
        <v>384</v>
      </c>
      <c r="L16" t="s">
        <v>385</v>
      </c>
      <c r="P16" t="s">
        <v>386</v>
      </c>
    </row>
    <row r="17" spans="1:16" ht="25" customHeight="1" x14ac:dyDescent="0.2">
      <c r="B17" s="5"/>
      <c r="C17" s="5"/>
      <c r="D17" t="s">
        <v>387</v>
      </c>
      <c r="E17" s="5"/>
      <c r="G17" t="s">
        <v>388</v>
      </c>
      <c r="J17" t="s">
        <v>389</v>
      </c>
      <c r="K17" t="s">
        <v>250</v>
      </c>
      <c r="L17" t="s">
        <v>390</v>
      </c>
      <c r="P17" t="s">
        <v>391</v>
      </c>
    </row>
    <row r="18" spans="1:16" ht="25" customHeight="1" x14ac:dyDescent="0.2">
      <c r="A18"/>
      <c r="D18" t="s">
        <v>392</v>
      </c>
      <c r="G18" t="s">
        <v>393</v>
      </c>
      <c r="J18" t="s">
        <v>394</v>
      </c>
      <c r="L18" t="s">
        <v>390</v>
      </c>
      <c r="P18" t="s">
        <v>395</v>
      </c>
    </row>
    <row r="19" spans="1:16" ht="25" customHeight="1" x14ac:dyDescent="0.2">
      <c r="D19" t="s">
        <v>396</v>
      </c>
      <c r="G19" t="s">
        <v>397</v>
      </c>
      <c r="J19" t="s">
        <v>107</v>
      </c>
      <c r="L19" t="s">
        <v>398</v>
      </c>
      <c r="P19" t="s">
        <v>399</v>
      </c>
    </row>
    <row r="20" spans="1:16" ht="25" customHeight="1" x14ac:dyDescent="0.2">
      <c r="D20" t="s">
        <v>400</v>
      </c>
      <c r="G20" t="s">
        <v>218</v>
      </c>
      <c r="L20" t="s">
        <v>401</v>
      </c>
      <c r="P20" t="s">
        <v>402</v>
      </c>
    </row>
    <row r="21" spans="1:16" ht="25" customHeight="1" x14ac:dyDescent="0.2">
      <c r="G21" t="s">
        <v>403</v>
      </c>
      <c r="L21" t="s">
        <v>113</v>
      </c>
      <c r="N21" s="3" t="s">
        <v>46</v>
      </c>
      <c r="P21" t="s">
        <v>404</v>
      </c>
    </row>
    <row r="22" spans="1:16" ht="25" customHeight="1" x14ac:dyDescent="0.2">
      <c r="A22"/>
      <c r="G22" t="s">
        <v>206</v>
      </c>
      <c r="P22" t="s">
        <v>405</v>
      </c>
    </row>
    <row r="23" spans="1:16" ht="25" customHeight="1" x14ac:dyDescent="0.2">
      <c r="A23"/>
      <c r="G23" t="s">
        <v>406</v>
      </c>
      <c r="P23" t="s">
        <v>407</v>
      </c>
    </row>
    <row r="24" spans="1:16" ht="25" customHeight="1" x14ac:dyDescent="0.2">
      <c r="A24"/>
      <c r="G24" t="s">
        <v>408</v>
      </c>
      <c r="P24" t="s">
        <v>409</v>
      </c>
    </row>
    <row r="25" spans="1:16" ht="25" customHeight="1" x14ac:dyDescent="0.2">
      <c r="G25" t="s">
        <v>410</v>
      </c>
      <c r="P25" t="s">
        <v>411</v>
      </c>
    </row>
    <row r="26" spans="1:16" ht="25" customHeight="1" x14ac:dyDescent="0.2">
      <c r="G26" t="s">
        <v>412</v>
      </c>
      <c r="O26" s="17"/>
      <c r="P26" s="17" t="s">
        <v>413</v>
      </c>
    </row>
    <row r="27" spans="1:16" ht="25" customHeight="1" x14ac:dyDescent="0.2">
      <c r="A27"/>
      <c r="P27" s="46" t="s">
        <v>414</v>
      </c>
    </row>
    <row r="28" spans="1:16" ht="25" customHeight="1" x14ac:dyDescent="0.2">
      <c r="A28"/>
      <c r="P28" t="s">
        <v>415</v>
      </c>
    </row>
    <row r="29" spans="1:16" ht="25" customHeight="1" x14ac:dyDescent="0.2">
      <c r="A29"/>
      <c r="P29" t="s">
        <v>416</v>
      </c>
    </row>
    <row r="30" spans="1:16" ht="25" customHeight="1" x14ac:dyDescent="0.2">
      <c r="P30" t="s">
        <v>417</v>
      </c>
    </row>
    <row r="31" spans="1:16" ht="25" customHeight="1" x14ac:dyDescent="0.2">
      <c r="P31" t="s">
        <v>418</v>
      </c>
    </row>
    <row r="32" spans="1:16" ht="25" customHeight="1" x14ac:dyDescent="0.2">
      <c r="A32"/>
      <c r="P32" t="s">
        <v>419</v>
      </c>
    </row>
    <row r="33" spans="1:16" ht="25" customHeight="1" x14ac:dyDescent="0.2">
      <c r="A33"/>
      <c r="P33" t="s">
        <v>420</v>
      </c>
    </row>
    <row r="34" spans="1:16" ht="25" customHeight="1" x14ac:dyDescent="0.2">
      <c r="A34"/>
      <c r="P34" t="s">
        <v>421</v>
      </c>
    </row>
    <row r="35" spans="1:16" ht="25" customHeight="1" x14ac:dyDescent="0.2">
      <c r="A35"/>
      <c r="P35" t="s">
        <v>422</v>
      </c>
    </row>
    <row r="36" spans="1:16" ht="25" customHeight="1" x14ac:dyDescent="0.2">
      <c r="A36" s="5"/>
      <c r="P36" t="s">
        <v>423</v>
      </c>
    </row>
    <row r="51" spans="2:9" ht="16" x14ac:dyDescent="0.2">
      <c r="B51" s="5"/>
      <c r="C51" s="5"/>
      <c r="D51" s="5"/>
      <c r="E51" s="5"/>
      <c r="I51" s="5" t="s">
        <v>145</v>
      </c>
    </row>
    <row r="52" spans="2:9" x14ac:dyDescent="0.2">
      <c r="I52" t="s">
        <v>424</v>
      </c>
    </row>
    <row r="53" spans="2:9" x14ac:dyDescent="0.2">
      <c r="F53" t="s">
        <v>46</v>
      </c>
      <c r="I53" t="s">
        <v>217</v>
      </c>
    </row>
    <row r="54" spans="2:9" x14ac:dyDescent="0.2">
      <c r="I54" t="s">
        <v>266</v>
      </c>
    </row>
    <row r="55" spans="2:9" x14ac:dyDescent="0.2">
      <c r="I55" t="s">
        <v>304</v>
      </c>
    </row>
    <row r="56" spans="2:9" x14ac:dyDescent="0.2">
      <c r="I56" t="s">
        <v>316</v>
      </c>
    </row>
  </sheetData>
  <sortState xmlns:xlrd2="http://schemas.microsoft.com/office/spreadsheetml/2017/richdata2" ref="L5:L17">
    <sortCondition ref="L4:L17"/>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B105-7DB7-4A28-B541-E0EE057D6753}">
  <sheetPr codeName="Sheet2">
    <tabColor theme="8"/>
  </sheetPr>
  <dimension ref="A1:AF106"/>
  <sheetViews>
    <sheetView zoomScale="106" zoomScaleNormal="55" workbookViewId="0">
      <pane xSplit="3" ySplit="2" topLeftCell="D3" activePane="bottomRight" state="frozen"/>
      <selection pane="topRight" activeCell="C4" sqref="C4"/>
      <selection pane="bottomLeft" activeCell="C4" sqref="C4"/>
      <selection pane="bottomRight" activeCell="J1" sqref="J1"/>
    </sheetView>
  </sheetViews>
  <sheetFormatPr baseColWidth="10" defaultColWidth="8.83203125" defaultRowHeight="15" x14ac:dyDescent="0.2"/>
  <cols>
    <col min="1" max="1" width="5.5" customWidth="1"/>
    <col min="2" max="2" width="3.5" customWidth="1"/>
    <col min="3" max="3" width="27.6640625" style="2" customWidth="1"/>
    <col min="4" max="4" width="18.6640625" style="70" customWidth="1"/>
    <col min="5" max="5" width="18.5" style="70" customWidth="1"/>
    <col min="6" max="6" width="11.5" style="70" customWidth="1"/>
    <col min="7" max="7" width="17.5" style="70" customWidth="1"/>
    <col min="8" max="8" width="9.1640625" style="70" customWidth="1"/>
    <col min="9" max="9" width="10.83203125" style="70" customWidth="1"/>
    <col min="10" max="10" width="13.5" style="70" customWidth="1"/>
    <col min="11" max="11" width="15.5" style="70" bestFit="1" customWidth="1"/>
    <col min="12" max="12" width="9.1640625" style="70"/>
    <col min="13" max="13" width="20.83203125" style="66" bestFit="1" customWidth="1"/>
    <col min="14" max="14" width="14.5" style="66" customWidth="1"/>
    <col min="15" max="15" width="15.83203125" style="66" bestFit="1" customWidth="1"/>
    <col min="16" max="18" width="11" style="70" customWidth="1"/>
    <col min="19" max="19" width="8.6640625" style="83" customWidth="1"/>
    <col min="20" max="20" width="11.33203125" style="83" customWidth="1"/>
    <col min="21" max="21" width="19.5" style="83" customWidth="1"/>
    <col min="22" max="22" width="15.5" style="86" customWidth="1"/>
    <col min="23" max="23" width="22.1640625" style="86" customWidth="1"/>
    <col min="24" max="24" width="23.5" style="86" customWidth="1"/>
    <col min="25" max="25" width="24.33203125" style="86" customWidth="1"/>
    <col min="26" max="26" width="24.33203125" customWidth="1"/>
    <col min="27" max="28" width="16.1640625" style="83" customWidth="1"/>
    <col min="29" max="29" width="26.1640625" style="83" customWidth="1"/>
    <col min="30" max="30" width="19.5" style="83" customWidth="1"/>
    <col min="31" max="32" width="20.6640625" style="83" customWidth="1"/>
  </cols>
  <sheetData>
    <row r="1" spans="1:32" ht="48" x14ac:dyDescent="0.2">
      <c r="C1" s="49" t="s">
        <v>425</v>
      </c>
      <c r="P1" s="80" t="s">
        <v>426</v>
      </c>
      <c r="Q1" s="80" t="s">
        <v>426</v>
      </c>
      <c r="R1" s="80" t="s">
        <v>426</v>
      </c>
      <c r="S1" s="81" t="s">
        <v>426</v>
      </c>
      <c r="T1" s="81" t="s">
        <v>426</v>
      </c>
      <c r="U1" s="81" t="s">
        <v>426</v>
      </c>
      <c r="V1" s="84" t="s">
        <v>427</v>
      </c>
      <c r="W1" s="84" t="s">
        <v>427</v>
      </c>
      <c r="X1" s="84" t="s">
        <v>427</v>
      </c>
      <c r="Y1" s="84" t="s">
        <v>427</v>
      </c>
      <c r="AE1" s="83" t="s">
        <v>428</v>
      </c>
    </row>
    <row r="2" spans="1:32" s="2" customFormat="1" ht="33.75" customHeight="1" x14ac:dyDescent="0.2">
      <c r="A2" s="2" t="s">
        <v>133</v>
      </c>
      <c r="B2" s="2" t="s">
        <v>429</v>
      </c>
      <c r="C2" s="10" t="s">
        <v>55</v>
      </c>
      <c r="D2" s="71" t="s">
        <v>58</v>
      </c>
      <c r="E2" s="71" t="s">
        <v>430</v>
      </c>
      <c r="F2" s="71" t="s">
        <v>64</v>
      </c>
      <c r="G2" s="72" t="s">
        <v>67</v>
      </c>
      <c r="H2" s="72" t="s">
        <v>431</v>
      </c>
      <c r="I2" s="72" t="s">
        <v>432</v>
      </c>
      <c r="J2" s="72" t="s">
        <v>75</v>
      </c>
      <c r="K2" s="71" t="s">
        <v>62</v>
      </c>
      <c r="L2" s="71" t="s">
        <v>77</v>
      </c>
      <c r="M2" s="67" t="s">
        <v>433</v>
      </c>
      <c r="N2" s="67" t="s">
        <v>434</v>
      </c>
      <c r="O2" s="67" t="s">
        <v>435</v>
      </c>
      <c r="P2" s="72" t="s">
        <v>245</v>
      </c>
      <c r="Q2" s="72" t="s">
        <v>246</v>
      </c>
      <c r="R2" s="72" t="s">
        <v>247</v>
      </c>
      <c r="S2" s="82" t="s">
        <v>100</v>
      </c>
      <c r="T2" s="82" t="s">
        <v>248</v>
      </c>
      <c r="U2" s="82" t="s">
        <v>436</v>
      </c>
      <c r="V2" s="85" t="s">
        <v>96</v>
      </c>
      <c r="W2" s="85" t="s">
        <v>107</v>
      </c>
      <c r="X2" s="85" t="s">
        <v>250</v>
      </c>
      <c r="Y2" s="85" t="s">
        <v>113</v>
      </c>
      <c r="Z2" s="2" t="s">
        <v>437</v>
      </c>
      <c r="AA2" s="82" t="s">
        <v>116</v>
      </c>
      <c r="AB2" s="82" t="s">
        <v>438</v>
      </c>
      <c r="AC2" s="82" t="s">
        <v>251</v>
      </c>
      <c r="AD2" s="82" t="s">
        <v>126</v>
      </c>
      <c r="AE2" s="82" t="s">
        <v>129</v>
      </c>
      <c r="AF2" s="82" t="s">
        <v>439</v>
      </c>
    </row>
    <row r="3" spans="1:32" s="1" customFormat="1" x14ac:dyDescent="0.2">
      <c r="A3" s="1">
        <v>1</v>
      </c>
      <c r="C3" s="1" t="s">
        <v>440</v>
      </c>
      <c r="D3" s="70" t="s">
        <v>441</v>
      </c>
      <c r="E3" s="70" t="s">
        <v>441</v>
      </c>
      <c r="F3" s="73" t="s">
        <v>442</v>
      </c>
      <c r="G3" s="70" t="s">
        <v>140</v>
      </c>
      <c r="H3" s="70" t="s">
        <v>443</v>
      </c>
      <c r="I3" s="74" t="s">
        <v>142</v>
      </c>
      <c r="J3" s="75">
        <v>45761</v>
      </c>
      <c r="K3" s="75">
        <v>45748</v>
      </c>
      <c r="L3" s="75" t="s">
        <v>143</v>
      </c>
      <c r="M3" s="66"/>
      <c r="N3" s="66" t="s">
        <v>144</v>
      </c>
      <c r="O3" s="66" t="s">
        <v>145</v>
      </c>
      <c r="P3" s="70" t="s">
        <v>290</v>
      </c>
      <c r="Q3" s="70" t="s">
        <v>257</v>
      </c>
      <c r="R3" s="70" t="s">
        <v>145</v>
      </c>
      <c r="S3" s="83" t="s">
        <v>156</v>
      </c>
      <c r="T3" s="83" t="s">
        <v>147</v>
      </c>
      <c r="U3" s="83" t="s">
        <v>148</v>
      </c>
      <c r="V3" s="86" t="s">
        <v>376</v>
      </c>
      <c r="W3" s="86" t="s">
        <v>107</v>
      </c>
      <c r="X3" s="86"/>
      <c r="Y3" s="86" t="s">
        <v>262</v>
      </c>
      <c r="Z3"/>
      <c r="AA3" s="83" t="s">
        <v>444</v>
      </c>
      <c r="AB3" s="83"/>
      <c r="AC3" s="83" t="s">
        <v>208</v>
      </c>
      <c r="AD3" s="83" t="s">
        <v>208</v>
      </c>
      <c r="AE3" s="83" t="s">
        <v>151</v>
      </c>
      <c r="AF3" s="83" t="s">
        <v>151</v>
      </c>
    </row>
    <row r="4" spans="1:32" ht="16" x14ac:dyDescent="0.2">
      <c r="A4" s="1">
        <v>2</v>
      </c>
      <c r="B4" s="1" t="s">
        <v>429</v>
      </c>
      <c r="C4" s="58" t="s">
        <v>445</v>
      </c>
      <c r="D4" s="70" t="s">
        <v>210</v>
      </c>
      <c r="E4" s="70" t="s">
        <v>211</v>
      </c>
      <c r="F4" s="73" t="s">
        <v>212</v>
      </c>
      <c r="G4" s="70" t="s">
        <v>140</v>
      </c>
      <c r="H4" s="70" t="s">
        <v>213</v>
      </c>
      <c r="I4" s="74" t="s">
        <v>446</v>
      </c>
      <c r="J4" s="75">
        <v>45761</v>
      </c>
      <c r="K4" s="75">
        <v>44013</v>
      </c>
      <c r="L4" s="75" t="s">
        <v>143</v>
      </c>
      <c r="N4" s="66" t="s">
        <v>216</v>
      </c>
      <c r="O4" s="66" t="s">
        <v>217</v>
      </c>
      <c r="S4" s="83" t="s">
        <v>156</v>
      </c>
      <c r="T4" s="83" t="s">
        <v>157</v>
      </c>
      <c r="U4" s="83" t="s">
        <v>148</v>
      </c>
      <c r="V4" s="86" t="s">
        <v>218</v>
      </c>
      <c r="AE4" s="83" t="s">
        <v>219</v>
      </c>
      <c r="AF4" s="83" t="s">
        <v>219</v>
      </c>
    </row>
    <row r="5" spans="1:32" ht="16" x14ac:dyDescent="0.2">
      <c r="A5" s="1">
        <v>3</v>
      </c>
      <c r="B5" s="1"/>
      <c r="C5" s="57" t="s">
        <v>447</v>
      </c>
      <c r="D5" s="70" t="s">
        <v>448</v>
      </c>
      <c r="E5" s="70" t="s">
        <v>448</v>
      </c>
      <c r="F5" s="73" t="s">
        <v>449</v>
      </c>
      <c r="G5" s="70" t="s">
        <v>140</v>
      </c>
      <c r="H5" s="70" t="s">
        <v>213</v>
      </c>
      <c r="I5" s="74" t="s">
        <v>446</v>
      </c>
      <c r="J5" s="75">
        <v>45761</v>
      </c>
      <c r="K5" s="75">
        <v>43831</v>
      </c>
      <c r="L5" s="75" t="s">
        <v>143</v>
      </c>
      <c r="N5" s="66" t="s">
        <v>216</v>
      </c>
      <c r="O5" s="66" t="s">
        <v>217</v>
      </c>
      <c r="S5" s="83" t="s">
        <v>156</v>
      </c>
      <c r="U5" s="83" t="s">
        <v>148</v>
      </c>
      <c r="V5" s="86" t="s">
        <v>450</v>
      </c>
      <c r="AE5" s="83" t="s">
        <v>219</v>
      </c>
      <c r="AF5" s="83" t="s">
        <v>219</v>
      </c>
    </row>
    <row r="6" spans="1:32" ht="32" x14ac:dyDescent="0.2">
      <c r="A6" s="1">
        <v>4</v>
      </c>
      <c r="B6" s="1"/>
      <c r="C6" s="58" t="s">
        <v>451</v>
      </c>
      <c r="D6" s="70" t="s">
        <v>452</v>
      </c>
      <c r="E6" s="70" t="s">
        <v>453</v>
      </c>
      <c r="F6" s="76" t="s">
        <v>454</v>
      </c>
      <c r="G6" s="70" t="s">
        <v>455</v>
      </c>
      <c r="H6" s="70" t="s">
        <v>213</v>
      </c>
      <c r="I6" s="74" t="str">
        <f>IF(Resources_full_data[[#This Row],[LinkIsAccesible ]] ="Page not found", "Page not found."," ")</f>
        <v>Page not found.</v>
      </c>
      <c r="J6" s="75">
        <v>45761</v>
      </c>
      <c r="K6" s="74" t="s">
        <v>142</v>
      </c>
      <c r="L6" s="75" t="s">
        <v>143</v>
      </c>
    </row>
    <row r="7" spans="1:32" x14ac:dyDescent="0.2">
      <c r="A7" s="1">
        <v>5</v>
      </c>
      <c r="B7" s="1"/>
      <c r="C7" s="1" t="s">
        <v>456</v>
      </c>
      <c r="D7" s="70" t="s">
        <v>457</v>
      </c>
      <c r="E7" s="70" t="s">
        <v>457</v>
      </c>
      <c r="F7" s="73" t="s">
        <v>458</v>
      </c>
      <c r="G7" s="70" t="s">
        <v>140</v>
      </c>
      <c r="H7" s="70" t="s">
        <v>443</v>
      </c>
      <c r="I7" s="74" t="s">
        <v>142</v>
      </c>
      <c r="J7" s="75">
        <v>45761</v>
      </c>
      <c r="K7" s="75">
        <v>44501</v>
      </c>
      <c r="L7" s="75" t="s">
        <v>143</v>
      </c>
      <c r="N7" s="66" t="s">
        <v>144</v>
      </c>
      <c r="O7" s="66" t="s">
        <v>336</v>
      </c>
      <c r="P7" s="70" t="s">
        <v>290</v>
      </c>
      <c r="Q7" s="70" t="s">
        <v>257</v>
      </c>
      <c r="R7" s="70" t="s">
        <v>304</v>
      </c>
      <c r="S7" s="83" t="s">
        <v>156</v>
      </c>
      <c r="T7" s="83" t="s">
        <v>337</v>
      </c>
      <c r="U7" s="83" t="s">
        <v>181</v>
      </c>
      <c r="V7" s="86" t="s">
        <v>258</v>
      </c>
      <c r="Y7" s="86" t="s">
        <v>459</v>
      </c>
      <c r="AA7" s="83" t="s">
        <v>444</v>
      </c>
      <c r="AC7" s="83" t="s">
        <v>208</v>
      </c>
      <c r="AD7" s="83" t="s">
        <v>208</v>
      </c>
      <c r="AE7" s="83" t="s">
        <v>184</v>
      </c>
      <c r="AF7" s="83" t="s">
        <v>184</v>
      </c>
    </row>
    <row r="8" spans="1:32" ht="16" x14ac:dyDescent="0.2">
      <c r="A8" s="1">
        <v>6</v>
      </c>
      <c r="B8" s="1"/>
      <c r="C8" s="58" t="s">
        <v>460</v>
      </c>
      <c r="D8" s="70" t="s">
        <v>461</v>
      </c>
      <c r="F8" s="76" t="s">
        <v>462</v>
      </c>
      <c r="G8" s="70" t="s">
        <v>455</v>
      </c>
      <c r="H8" s="70" t="s">
        <v>213</v>
      </c>
      <c r="I8" s="74" t="str">
        <f>IF(Resources_full_data[[#This Row],[LinkIsAccesible ]] ="Page not found", "Page not found."," ")</f>
        <v>Page not found.</v>
      </c>
      <c r="J8" s="75">
        <v>45761</v>
      </c>
      <c r="K8" s="74" t="s">
        <v>142</v>
      </c>
      <c r="L8" s="75" t="s">
        <v>143</v>
      </c>
    </row>
    <row r="9" spans="1:32" ht="47.25" customHeight="1" x14ac:dyDescent="0.2">
      <c r="A9" s="1">
        <v>7</v>
      </c>
      <c r="B9" s="1"/>
      <c r="C9" s="57" t="s">
        <v>463</v>
      </c>
      <c r="D9" s="70" t="s">
        <v>464</v>
      </c>
      <c r="E9" s="70" t="s">
        <v>465</v>
      </c>
      <c r="F9" s="73" t="s">
        <v>466</v>
      </c>
      <c r="G9" s="70" t="s">
        <v>140</v>
      </c>
      <c r="H9" s="70" t="s">
        <v>443</v>
      </c>
      <c r="I9" s="74" t="s">
        <v>142</v>
      </c>
      <c r="J9" s="75">
        <v>45761</v>
      </c>
      <c r="K9" s="75">
        <v>45261</v>
      </c>
      <c r="L9" s="75" t="s">
        <v>143</v>
      </c>
      <c r="N9" s="66" t="s">
        <v>305</v>
      </c>
      <c r="O9" s="66" t="s">
        <v>145</v>
      </c>
      <c r="P9" s="70" t="s">
        <v>256</v>
      </c>
      <c r="Q9" s="70" t="s">
        <v>326</v>
      </c>
      <c r="R9" s="70" t="s">
        <v>145</v>
      </c>
      <c r="S9" s="83" t="s">
        <v>179</v>
      </c>
      <c r="T9" s="83" t="s">
        <v>305</v>
      </c>
      <c r="U9" s="83" t="s">
        <v>271</v>
      </c>
      <c r="V9" s="86" t="s">
        <v>258</v>
      </c>
      <c r="W9" s="86" t="s">
        <v>467</v>
      </c>
      <c r="X9" s="86" t="s">
        <v>468</v>
      </c>
      <c r="Y9" s="86" t="s">
        <v>469</v>
      </c>
      <c r="AA9" s="83" t="s">
        <v>470</v>
      </c>
      <c r="AB9" s="87" t="s">
        <v>471</v>
      </c>
      <c r="AC9" s="83" t="s">
        <v>162</v>
      </c>
      <c r="AD9" s="83" t="s">
        <v>472</v>
      </c>
      <c r="AE9" s="83" t="s">
        <v>151</v>
      </c>
      <c r="AF9" s="83" t="s">
        <v>184</v>
      </c>
    </row>
    <row r="10" spans="1:32" ht="16" x14ac:dyDescent="0.2">
      <c r="A10" s="1">
        <v>8</v>
      </c>
      <c r="B10" s="1"/>
      <c r="C10" s="58" t="s">
        <v>473</v>
      </c>
      <c r="D10" s="70" t="s">
        <v>474</v>
      </c>
      <c r="E10" s="70" t="s">
        <v>474</v>
      </c>
      <c r="F10" s="73" t="s">
        <v>475</v>
      </c>
      <c r="G10" s="70" t="s">
        <v>140</v>
      </c>
      <c r="H10" s="70" t="s">
        <v>443</v>
      </c>
      <c r="I10" s="74" t="s">
        <v>142</v>
      </c>
      <c r="J10" s="75">
        <v>45761</v>
      </c>
      <c r="K10" s="75">
        <v>45748</v>
      </c>
      <c r="L10" s="75" t="s">
        <v>143</v>
      </c>
      <c r="N10" s="66" t="s">
        <v>167</v>
      </c>
      <c r="O10" s="66" t="s">
        <v>145</v>
      </c>
      <c r="P10" s="70" t="s">
        <v>256</v>
      </c>
      <c r="Q10" s="70" t="s">
        <v>400</v>
      </c>
      <c r="R10" s="70" t="s">
        <v>145</v>
      </c>
      <c r="S10" s="83" t="s">
        <v>156</v>
      </c>
      <c r="T10" s="83" t="s">
        <v>189</v>
      </c>
      <c r="U10" s="83" t="s">
        <v>476</v>
      </c>
      <c r="V10" s="86" t="s">
        <v>477</v>
      </c>
      <c r="X10" s="86" t="s">
        <v>331</v>
      </c>
      <c r="Y10" s="86" t="s">
        <v>332</v>
      </c>
      <c r="AA10" s="83" t="s">
        <v>444</v>
      </c>
      <c r="AC10" s="83" t="s">
        <v>208</v>
      </c>
      <c r="AD10" s="83" t="s">
        <v>208</v>
      </c>
      <c r="AE10" s="83" t="s">
        <v>322</v>
      </c>
      <c r="AF10" s="83" t="s">
        <v>184</v>
      </c>
    </row>
    <row r="11" spans="1:32" x14ac:dyDescent="0.2">
      <c r="A11" s="1">
        <v>9</v>
      </c>
      <c r="B11" s="1" t="s">
        <v>429</v>
      </c>
      <c r="C11" s="1" t="s">
        <v>478</v>
      </c>
      <c r="D11" s="70" t="s">
        <v>138</v>
      </c>
      <c r="E11" s="70" t="s">
        <v>138</v>
      </c>
      <c r="F11" s="73" t="s">
        <v>139</v>
      </c>
      <c r="G11" s="70" t="s">
        <v>140</v>
      </c>
      <c r="H11" s="70" t="s">
        <v>443</v>
      </c>
      <c r="I11" s="74" t="s">
        <v>142</v>
      </c>
      <c r="J11" s="75">
        <v>45761</v>
      </c>
      <c r="K11" s="75">
        <v>44256</v>
      </c>
      <c r="L11" s="75" t="s">
        <v>143</v>
      </c>
      <c r="N11" s="66" t="s">
        <v>144</v>
      </c>
      <c r="O11" s="66" t="s">
        <v>145</v>
      </c>
      <c r="P11" s="70" t="s">
        <v>290</v>
      </c>
      <c r="Q11" s="70" t="s">
        <v>257</v>
      </c>
      <c r="R11" s="70" t="s">
        <v>145</v>
      </c>
      <c r="S11" s="83" t="s">
        <v>146</v>
      </c>
      <c r="T11" s="83" t="s">
        <v>147</v>
      </c>
      <c r="U11" s="83" t="s">
        <v>148</v>
      </c>
      <c r="V11" s="86" t="s">
        <v>149</v>
      </c>
      <c r="Y11" s="86" t="s">
        <v>372</v>
      </c>
      <c r="AA11" s="83" t="s">
        <v>444</v>
      </c>
      <c r="AC11" s="83" t="s">
        <v>208</v>
      </c>
      <c r="AD11" s="83" t="s">
        <v>208</v>
      </c>
      <c r="AE11" s="83" t="s">
        <v>151</v>
      </c>
      <c r="AF11" s="83" t="s">
        <v>151</v>
      </c>
    </row>
    <row r="12" spans="1:32" ht="32" x14ac:dyDescent="0.2">
      <c r="A12" s="1">
        <v>10</v>
      </c>
      <c r="B12" s="1"/>
      <c r="C12" s="58" t="s">
        <v>479</v>
      </c>
      <c r="D12" s="70" t="s">
        <v>480</v>
      </c>
      <c r="E12" s="70" t="s">
        <v>480</v>
      </c>
      <c r="F12" s="76" t="s">
        <v>481</v>
      </c>
      <c r="G12" s="70" t="s">
        <v>455</v>
      </c>
      <c r="H12" s="70" t="s">
        <v>213</v>
      </c>
      <c r="I12" s="74" t="str">
        <f>IF(Resources_full_data[[#This Row],[LinkIsAccesible ]] ="Page not found", "Page not found."," ")</f>
        <v>Page not found.</v>
      </c>
      <c r="J12" s="75">
        <v>45761</v>
      </c>
      <c r="K12" s="74" t="s">
        <v>142</v>
      </c>
      <c r="L12" s="75" t="s">
        <v>143</v>
      </c>
    </row>
    <row r="13" spans="1:32" x14ac:dyDescent="0.2">
      <c r="A13" s="1">
        <v>11</v>
      </c>
      <c r="B13" s="1"/>
      <c r="C13" s="1" t="s">
        <v>482</v>
      </c>
      <c r="D13" s="70" t="s">
        <v>483</v>
      </c>
      <c r="E13" s="70" t="s">
        <v>483</v>
      </c>
      <c r="F13" s="73" t="s">
        <v>484</v>
      </c>
      <c r="G13" s="70" t="s">
        <v>140</v>
      </c>
      <c r="H13" s="70" t="s">
        <v>443</v>
      </c>
      <c r="I13" s="74" t="s">
        <v>142</v>
      </c>
      <c r="J13" s="75">
        <v>45761</v>
      </c>
      <c r="K13" s="75"/>
      <c r="L13" s="75" t="s">
        <v>143</v>
      </c>
      <c r="N13" s="66" t="s">
        <v>167</v>
      </c>
      <c r="O13" s="66" t="s">
        <v>289</v>
      </c>
      <c r="P13" s="70" t="s">
        <v>290</v>
      </c>
      <c r="Q13" s="70" t="s">
        <v>289</v>
      </c>
      <c r="R13" s="70" t="s">
        <v>304</v>
      </c>
      <c r="S13" s="83" t="s">
        <v>179</v>
      </c>
      <c r="T13" s="83" t="s">
        <v>189</v>
      </c>
      <c r="U13" s="83" t="s">
        <v>148</v>
      </c>
      <c r="V13" s="86" t="s">
        <v>485</v>
      </c>
      <c r="X13" s="86" t="s">
        <v>486</v>
      </c>
      <c r="AA13" s="83" t="s">
        <v>444</v>
      </c>
      <c r="AC13" s="83" t="s">
        <v>208</v>
      </c>
      <c r="AD13" s="83" t="s">
        <v>208</v>
      </c>
      <c r="AE13" s="83" t="s">
        <v>322</v>
      </c>
      <c r="AF13" s="83" t="s">
        <v>487</v>
      </c>
    </row>
    <row r="14" spans="1:32" ht="80.25" customHeight="1" x14ac:dyDescent="0.2">
      <c r="A14" s="1">
        <v>12</v>
      </c>
      <c r="B14" s="1"/>
      <c r="C14" s="58" t="s">
        <v>488</v>
      </c>
      <c r="D14" s="70" t="s">
        <v>489</v>
      </c>
      <c r="E14" s="70" t="s">
        <v>490</v>
      </c>
      <c r="F14" s="73" t="s">
        <v>491</v>
      </c>
      <c r="G14" s="70" t="s">
        <v>455</v>
      </c>
      <c r="H14" s="70" t="s">
        <v>213</v>
      </c>
      <c r="I14" s="74" t="str">
        <f>IF(Resources_full_data[[#This Row],[LinkIsAccesible ]] ="Page not found", "Page not found."," ")</f>
        <v>Page not found.</v>
      </c>
      <c r="J14" s="75">
        <v>45761</v>
      </c>
      <c r="K14" s="74" t="s">
        <v>142</v>
      </c>
      <c r="L14" s="75" t="s">
        <v>143</v>
      </c>
    </row>
    <row r="15" spans="1:32" ht="64" x14ac:dyDescent="0.2">
      <c r="A15" s="1">
        <v>13</v>
      </c>
      <c r="B15" s="1"/>
      <c r="C15" s="57" t="s">
        <v>492</v>
      </c>
      <c r="D15" s="70" t="s">
        <v>493</v>
      </c>
      <c r="E15" s="70" t="s">
        <v>494</v>
      </c>
      <c r="F15" s="73" t="s">
        <v>495</v>
      </c>
      <c r="G15" s="70" t="s">
        <v>140</v>
      </c>
      <c r="H15" s="70" t="s">
        <v>443</v>
      </c>
      <c r="I15" s="74" t="s">
        <v>142</v>
      </c>
      <c r="J15" s="75">
        <v>45761</v>
      </c>
      <c r="K15" s="75">
        <v>43709</v>
      </c>
      <c r="L15" s="75" t="s">
        <v>143</v>
      </c>
      <c r="N15" s="66" t="s">
        <v>157</v>
      </c>
      <c r="O15" s="66" t="s">
        <v>168</v>
      </c>
      <c r="P15" s="70" t="s">
        <v>157</v>
      </c>
      <c r="Q15" s="70" t="s">
        <v>168</v>
      </c>
      <c r="R15" s="70" t="s">
        <v>304</v>
      </c>
      <c r="S15" s="83" t="s">
        <v>179</v>
      </c>
      <c r="U15" s="83" t="s">
        <v>148</v>
      </c>
      <c r="V15" s="86" t="s">
        <v>218</v>
      </c>
      <c r="W15" s="86" t="s">
        <v>496</v>
      </c>
      <c r="X15" s="86" t="s">
        <v>497</v>
      </c>
      <c r="AA15" s="83" t="s">
        <v>444</v>
      </c>
      <c r="AC15" s="83" t="s">
        <v>208</v>
      </c>
      <c r="AD15" s="83" t="s">
        <v>208</v>
      </c>
      <c r="AE15" s="83" t="s">
        <v>322</v>
      </c>
      <c r="AF15" s="83" t="s">
        <v>312</v>
      </c>
    </row>
    <row r="16" spans="1:32" ht="16" x14ac:dyDescent="0.2">
      <c r="A16" s="1">
        <v>14</v>
      </c>
      <c r="B16" s="1"/>
      <c r="C16" s="58" t="s">
        <v>498</v>
      </c>
      <c r="D16" s="70" t="s">
        <v>461</v>
      </c>
      <c r="F16" s="76" t="s">
        <v>499</v>
      </c>
      <c r="G16" s="70" t="s">
        <v>455</v>
      </c>
      <c r="H16" s="70" t="s">
        <v>213</v>
      </c>
      <c r="I16" s="74" t="str">
        <f>IF(Resources_full_data[[#This Row],[LinkIsAccesible ]] ="Page not found", "Page not found."," ")</f>
        <v>Page not found.</v>
      </c>
      <c r="J16" s="75">
        <v>45761</v>
      </c>
      <c r="K16" s="74" t="s">
        <v>142</v>
      </c>
      <c r="L16" s="75" t="s">
        <v>143</v>
      </c>
    </row>
    <row r="17" spans="1:32" x14ac:dyDescent="0.2">
      <c r="A17" s="1">
        <v>15</v>
      </c>
      <c r="B17" s="1"/>
      <c r="C17" s="1" t="s">
        <v>500</v>
      </c>
      <c r="D17" s="70" t="s">
        <v>501</v>
      </c>
      <c r="E17" s="70" t="s">
        <v>502</v>
      </c>
      <c r="F17" s="73" t="s">
        <v>503</v>
      </c>
      <c r="G17" s="70" t="s">
        <v>140</v>
      </c>
      <c r="H17" s="70" t="s">
        <v>443</v>
      </c>
      <c r="I17" s="74" t="s">
        <v>142</v>
      </c>
      <c r="J17" s="75">
        <v>45761</v>
      </c>
      <c r="K17" s="75">
        <v>45748</v>
      </c>
      <c r="L17" s="75" t="s">
        <v>143</v>
      </c>
      <c r="N17" s="66" t="s">
        <v>144</v>
      </c>
      <c r="O17" s="66" t="s">
        <v>145</v>
      </c>
      <c r="P17" s="70" t="s">
        <v>290</v>
      </c>
      <c r="Q17" s="70" t="s">
        <v>257</v>
      </c>
      <c r="R17" s="70" t="s">
        <v>145</v>
      </c>
      <c r="S17" s="83" t="s">
        <v>179</v>
      </c>
      <c r="T17" s="83" t="s">
        <v>147</v>
      </c>
      <c r="U17" s="83" t="s">
        <v>504</v>
      </c>
      <c r="V17" s="86" t="s">
        <v>258</v>
      </c>
      <c r="Y17" s="86" t="s">
        <v>505</v>
      </c>
      <c r="AA17" s="83" t="s">
        <v>444</v>
      </c>
      <c r="AC17" s="83" t="s">
        <v>208</v>
      </c>
      <c r="AD17" s="83" t="s">
        <v>208</v>
      </c>
      <c r="AE17" s="83" t="s">
        <v>322</v>
      </c>
      <c r="AF17" s="83" t="s">
        <v>184</v>
      </c>
    </row>
    <row r="18" spans="1:32" x14ac:dyDescent="0.2">
      <c r="A18" s="1">
        <v>17</v>
      </c>
      <c r="B18" s="1"/>
      <c r="C18" s="1" t="s">
        <v>506</v>
      </c>
      <c r="D18" s="70" t="s">
        <v>507</v>
      </c>
      <c r="E18" s="70" t="s">
        <v>502</v>
      </c>
      <c r="F18" s="77" t="s">
        <v>508</v>
      </c>
      <c r="G18" s="70" t="s">
        <v>140</v>
      </c>
      <c r="H18" s="70" t="s">
        <v>443</v>
      </c>
      <c r="I18" s="74" t="s">
        <v>142</v>
      </c>
      <c r="J18" s="75">
        <v>45761</v>
      </c>
      <c r="K18" s="75"/>
      <c r="L18" s="75" t="s">
        <v>143</v>
      </c>
      <c r="N18" s="66" t="s">
        <v>167</v>
      </c>
      <c r="O18" s="66" t="s">
        <v>145</v>
      </c>
      <c r="P18" s="70" t="s">
        <v>290</v>
      </c>
      <c r="Q18" s="70" t="s">
        <v>267</v>
      </c>
      <c r="R18" s="70" t="s">
        <v>145</v>
      </c>
      <c r="S18" s="83" t="s">
        <v>179</v>
      </c>
      <c r="T18" s="83" t="s">
        <v>337</v>
      </c>
      <c r="U18" s="83" t="s">
        <v>504</v>
      </c>
      <c r="V18" s="86" t="s">
        <v>258</v>
      </c>
      <c r="W18" s="86" t="s">
        <v>509</v>
      </c>
      <c r="Y18" s="86" t="s">
        <v>385</v>
      </c>
      <c r="AA18" s="83" t="s">
        <v>444</v>
      </c>
      <c r="AC18" s="83" t="s">
        <v>208</v>
      </c>
      <c r="AD18" s="83" t="s">
        <v>208</v>
      </c>
      <c r="AE18" s="83" t="s">
        <v>322</v>
      </c>
      <c r="AF18" s="83" t="s">
        <v>142</v>
      </c>
    </row>
    <row r="19" spans="1:32" x14ac:dyDescent="0.2">
      <c r="A19" s="1">
        <v>18</v>
      </c>
      <c r="B19" s="1"/>
      <c r="C19" s="1" t="s">
        <v>510</v>
      </c>
      <c r="D19" s="70" t="s">
        <v>507</v>
      </c>
      <c r="E19" s="70" t="s">
        <v>502</v>
      </c>
      <c r="F19" s="77" t="s">
        <v>511</v>
      </c>
      <c r="G19" s="70" t="s">
        <v>140</v>
      </c>
      <c r="H19" s="70" t="s">
        <v>443</v>
      </c>
      <c r="I19" s="74" t="s">
        <v>142</v>
      </c>
      <c r="J19" s="75">
        <v>45761</v>
      </c>
      <c r="K19" s="75"/>
      <c r="L19" s="75" t="s">
        <v>143</v>
      </c>
      <c r="N19" s="66" t="s">
        <v>167</v>
      </c>
      <c r="O19" s="66" t="s">
        <v>145</v>
      </c>
      <c r="P19" s="70" t="s">
        <v>290</v>
      </c>
      <c r="Q19" s="70" t="s">
        <v>267</v>
      </c>
      <c r="R19" s="70" t="s">
        <v>145</v>
      </c>
      <c r="S19" s="83" t="s">
        <v>179</v>
      </c>
      <c r="T19" s="83" t="s">
        <v>337</v>
      </c>
      <c r="U19" s="83" t="s">
        <v>504</v>
      </c>
      <c r="V19" s="86" t="s">
        <v>258</v>
      </c>
      <c r="Y19" s="86" t="s">
        <v>512</v>
      </c>
      <c r="AA19" s="83" t="s">
        <v>444</v>
      </c>
      <c r="AC19" s="83" t="s">
        <v>208</v>
      </c>
      <c r="AD19" s="83" t="s">
        <v>208</v>
      </c>
      <c r="AE19" s="83" t="s">
        <v>322</v>
      </c>
      <c r="AF19" s="83" t="s">
        <v>142</v>
      </c>
    </row>
    <row r="20" spans="1:32" ht="16" x14ac:dyDescent="0.2">
      <c r="A20" s="1">
        <v>19</v>
      </c>
      <c r="B20" s="1"/>
      <c r="C20" s="58" t="s">
        <v>513</v>
      </c>
      <c r="D20" s="70" t="s">
        <v>514</v>
      </c>
      <c r="E20" s="70" t="s">
        <v>514</v>
      </c>
      <c r="F20" s="73" t="s">
        <v>515</v>
      </c>
      <c r="G20" s="70" t="s">
        <v>140</v>
      </c>
      <c r="H20" s="70" t="s">
        <v>443</v>
      </c>
      <c r="I20" s="74" t="s">
        <v>142</v>
      </c>
      <c r="J20" s="74">
        <v>45761</v>
      </c>
      <c r="K20" s="75">
        <v>45170</v>
      </c>
      <c r="L20" s="75" t="s">
        <v>143</v>
      </c>
      <c r="N20" s="66" t="s">
        <v>254</v>
      </c>
      <c r="O20" s="66" t="s">
        <v>145</v>
      </c>
      <c r="P20" s="70" t="s">
        <v>325</v>
      </c>
      <c r="Q20" s="70" t="s">
        <v>267</v>
      </c>
      <c r="R20" s="70" t="s">
        <v>145</v>
      </c>
      <c r="S20" s="83" t="s">
        <v>179</v>
      </c>
      <c r="T20" s="83" t="s">
        <v>189</v>
      </c>
      <c r="U20" s="83" t="s">
        <v>317</v>
      </c>
      <c r="V20" s="86" t="s">
        <v>258</v>
      </c>
      <c r="W20" s="86" t="s">
        <v>107</v>
      </c>
      <c r="X20" s="86" t="s">
        <v>250</v>
      </c>
      <c r="Y20" s="86" t="s">
        <v>113</v>
      </c>
      <c r="AA20" s="83" t="s">
        <v>444</v>
      </c>
      <c r="AC20" s="83" t="s">
        <v>208</v>
      </c>
      <c r="AD20" s="83" t="s">
        <v>208</v>
      </c>
      <c r="AE20" s="83" t="s">
        <v>219</v>
      </c>
      <c r="AF20" s="83" t="s">
        <v>219</v>
      </c>
    </row>
    <row r="21" spans="1:32" x14ac:dyDescent="0.2">
      <c r="A21" s="1">
        <v>20</v>
      </c>
      <c r="B21" s="1"/>
      <c r="C21" s="59" t="s">
        <v>516</v>
      </c>
      <c r="D21" s="70" t="s">
        <v>517</v>
      </c>
      <c r="E21" s="70" t="s">
        <v>517</v>
      </c>
      <c r="F21" s="73" t="s">
        <v>518</v>
      </c>
      <c r="G21" s="70" t="s">
        <v>140</v>
      </c>
      <c r="H21" s="70" t="s">
        <v>443</v>
      </c>
      <c r="I21" s="74" t="s">
        <v>142</v>
      </c>
      <c r="J21" s="74">
        <v>45761</v>
      </c>
      <c r="K21" s="75"/>
      <c r="L21" s="75" t="s">
        <v>143</v>
      </c>
      <c r="N21" s="66" t="s">
        <v>305</v>
      </c>
      <c r="O21" s="66" t="s">
        <v>145</v>
      </c>
      <c r="P21" s="70" t="s">
        <v>256</v>
      </c>
      <c r="Q21" s="70" t="s">
        <v>400</v>
      </c>
      <c r="R21" s="70" t="s">
        <v>145</v>
      </c>
      <c r="S21" s="83" t="s">
        <v>179</v>
      </c>
      <c r="T21" s="83" t="s">
        <v>189</v>
      </c>
      <c r="U21" s="83" t="s">
        <v>369</v>
      </c>
      <c r="V21" s="86" t="s">
        <v>258</v>
      </c>
      <c r="W21" s="86" t="s">
        <v>519</v>
      </c>
      <c r="AA21" s="83" t="s">
        <v>520</v>
      </c>
      <c r="AB21" s="83" t="s">
        <v>521</v>
      </c>
      <c r="AC21" s="83" t="s">
        <v>258</v>
      </c>
      <c r="AD21" s="83" t="s">
        <v>522</v>
      </c>
      <c r="AE21" s="83" t="s">
        <v>184</v>
      </c>
      <c r="AF21" s="83" t="s">
        <v>151</v>
      </c>
    </row>
    <row r="22" spans="1:32" ht="32" x14ac:dyDescent="0.2">
      <c r="A22" s="1">
        <v>21</v>
      </c>
      <c r="B22" s="1"/>
      <c r="C22" s="58" t="s">
        <v>523</v>
      </c>
      <c r="D22" s="70" t="s">
        <v>524</v>
      </c>
      <c r="E22" s="70" t="s">
        <v>525</v>
      </c>
      <c r="F22" s="73" t="s">
        <v>526</v>
      </c>
      <c r="G22" s="70" t="s">
        <v>140</v>
      </c>
      <c r="H22" s="70" t="s">
        <v>443</v>
      </c>
      <c r="I22" s="74" t="s">
        <v>142</v>
      </c>
      <c r="J22" s="74">
        <v>45761</v>
      </c>
      <c r="K22" s="75">
        <v>44378</v>
      </c>
      <c r="L22" s="75" t="s">
        <v>143</v>
      </c>
      <c r="N22" s="66" t="s">
        <v>144</v>
      </c>
      <c r="O22" s="66" t="s">
        <v>268</v>
      </c>
      <c r="P22" s="70" t="s">
        <v>325</v>
      </c>
      <c r="Q22" s="70" t="s">
        <v>400</v>
      </c>
      <c r="R22" s="70" t="s">
        <v>268</v>
      </c>
      <c r="S22" s="83" t="s">
        <v>179</v>
      </c>
      <c r="T22" s="83" t="s">
        <v>305</v>
      </c>
      <c r="U22" s="83" t="s">
        <v>339</v>
      </c>
      <c r="V22" s="86" t="s">
        <v>149</v>
      </c>
      <c r="Y22" s="86" t="s">
        <v>262</v>
      </c>
      <c r="AA22" s="83" t="s">
        <v>444</v>
      </c>
      <c r="AC22" s="83" t="s">
        <v>208</v>
      </c>
      <c r="AD22" s="83" t="s">
        <v>208</v>
      </c>
      <c r="AE22" s="83" t="s">
        <v>171</v>
      </c>
      <c r="AF22" s="83" t="s">
        <v>171</v>
      </c>
    </row>
    <row r="23" spans="1:32" ht="25.5" customHeight="1" x14ac:dyDescent="0.2">
      <c r="A23" s="1">
        <v>22</v>
      </c>
      <c r="B23" s="1"/>
      <c r="C23" s="57" t="s">
        <v>527</v>
      </c>
      <c r="D23" s="70" t="s">
        <v>528</v>
      </c>
      <c r="E23" s="70" t="s">
        <v>528</v>
      </c>
      <c r="F23" s="73" t="s">
        <v>529</v>
      </c>
      <c r="G23" s="70" t="s">
        <v>140</v>
      </c>
      <c r="H23" s="70" t="s">
        <v>443</v>
      </c>
      <c r="I23" s="74"/>
      <c r="J23" s="74">
        <v>45761</v>
      </c>
      <c r="K23" s="75">
        <v>45748</v>
      </c>
      <c r="L23" s="75" t="s">
        <v>143</v>
      </c>
      <c r="N23" s="66" t="s">
        <v>144</v>
      </c>
      <c r="O23" s="66" t="s">
        <v>155</v>
      </c>
      <c r="P23" s="70" t="s">
        <v>256</v>
      </c>
      <c r="Q23" s="70" t="s">
        <v>257</v>
      </c>
      <c r="R23" s="70" t="s">
        <v>145</v>
      </c>
      <c r="S23" s="83" t="s">
        <v>156</v>
      </c>
      <c r="T23" s="83" t="s">
        <v>337</v>
      </c>
      <c r="U23" s="83" t="s">
        <v>339</v>
      </c>
      <c r="V23" s="86" t="s">
        <v>530</v>
      </c>
      <c r="Y23" s="86" t="s">
        <v>531</v>
      </c>
      <c r="AA23" s="83" t="s">
        <v>444</v>
      </c>
      <c r="AC23" s="83" t="s">
        <v>208</v>
      </c>
      <c r="AD23" s="83" t="s">
        <v>208</v>
      </c>
      <c r="AE23" s="83" t="s">
        <v>312</v>
      </c>
      <c r="AF23" s="83" t="s">
        <v>312</v>
      </c>
    </row>
    <row r="24" spans="1:32" ht="32" x14ac:dyDescent="0.2">
      <c r="A24" s="1">
        <v>23</v>
      </c>
      <c r="B24" s="1"/>
      <c r="C24" s="58" t="s">
        <v>532</v>
      </c>
      <c r="D24" s="70" t="s">
        <v>533</v>
      </c>
      <c r="E24" s="70" t="s">
        <v>528</v>
      </c>
      <c r="F24" s="73" t="s">
        <v>534</v>
      </c>
      <c r="G24" s="70" t="s">
        <v>140</v>
      </c>
      <c r="H24" s="70" t="s">
        <v>443</v>
      </c>
      <c r="I24" s="74" t="s">
        <v>142</v>
      </c>
      <c r="J24" s="74">
        <v>45761</v>
      </c>
      <c r="K24" s="75">
        <v>43617</v>
      </c>
      <c r="L24" s="75" t="s">
        <v>143</v>
      </c>
      <c r="N24" s="66" t="s">
        <v>144</v>
      </c>
      <c r="O24" s="66" t="s">
        <v>145</v>
      </c>
      <c r="P24" s="70" t="s">
        <v>325</v>
      </c>
      <c r="Q24" s="70" t="s">
        <v>168</v>
      </c>
      <c r="R24" s="70" t="s">
        <v>145</v>
      </c>
      <c r="S24" s="83" t="s">
        <v>156</v>
      </c>
      <c r="T24" s="83" t="s">
        <v>337</v>
      </c>
      <c r="U24" s="83" t="s">
        <v>339</v>
      </c>
      <c r="V24" s="86" t="s">
        <v>530</v>
      </c>
      <c r="Y24" s="86" t="s">
        <v>535</v>
      </c>
      <c r="AA24" s="83" t="s">
        <v>444</v>
      </c>
      <c r="AC24" s="83" t="s">
        <v>208</v>
      </c>
      <c r="AD24" s="83" t="s">
        <v>208</v>
      </c>
      <c r="AE24" s="83" t="s">
        <v>151</v>
      </c>
      <c r="AF24" s="83" t="s">
        <v>219</v>
      </c>
    </row>
    <row r="25" spans="1:32" ht="32" x14ac:dyDescent="0.2">
      <c r="A25" s="1">
        <v>24</v>
      </c>
      <c r="B25" s="1"/>
      <c r="C25" s="57" t="s">
        <v>536</v>
      </c>
      <c r="D25" s="70" t="s">
        <v>528</v>
      </c>
      <c r="E25" s="70" t="s">
        <v>528</v>
      </c>
      <c r="F25" s="73" t="s">
        <v>537</v>
      </c>
      <c r="G25" s="70" t="s">
        <v>140</v>
      </c>
      <c r="H25" s="70" t="s">
        <v>443</v>
      </c>
      <c r="I25" s="74" t="s">
        <v>142</v>
      </c>
      <c r="J25" s="74">
        <v>45761</v>
      </c>
      <c r="K25" s="70">
        <v>2020</v>
      </c>
      <c r="L25" s="75" t="s">
        <v>143</v>
      </c>
      <c r="N25" s="66" t="s">
        <v>144</v>
      </c>
      <c r="O25" s="66" t="s">
        <v>168</v>
      </c>
      <c r="P25" s="70" t="s">
        <v>325</v>
      </c>
      <c r="Q25" s="70" t="s">
        <v>257</v>
      </c>
      <c r="R25" s="70" t="s">
        <v>304</v>
      </c>
      <c r="S25" s="83" t="s">
        <v>179</v>
      </c>
      <c r="T25" s="83" t="s">
        <v>337</v>
      </c>
      <c r="U25" s="83" t="s">
        <v>339</v>
      </c>
      <c r="V25" s="86" t="s">
        <v>538</v>
      </c>
      <c r="Y25" s="86" t="s">
        <v>385</v>
      </c>
      <c r="Z25" t="s">
        <v>539</v>
      </c>
      <c r="AA25" s="83" t="s">
        <v>444</v>
      </c>
      <c r="AC25" s="83" t="s">
        <v>208</v>
      </c>
      <c r="AD25" s="83" t="s">
        <v>208</v>
      </c>
      <c r="AE25" s="83" t="s">
        <v>151</v>
      </c>
      <c r="AF25" s="83" t="s">
        <v>151</v>
      </c>
    </row>
    <row r="26" spans="1:32" x14ac:dyDescent="0.2">
      <c r="A26" s="1">
        <v>25</v>
      </c>
      <c r="B26" s="1"/>
      <c r="C26" s="1" t="s">
        <v>540</v>
      </c>
      <c r="D26" s="70" t="s">
        <v>541</v>
      </c>
      <c r="E26" s="70" t="s">
        <v>541</v>
      </c>
      <c r="F26" s="73" t="s">
        <v>542</v>
      </c>
      <c r="G26" s="70" t="s">
        <v>140</v>
      </c>
      <c r="H26" s="70" t="s">
        <v>443</v>
      </c>
      <c r="I26" s="74" t="s">
        <v>142</v>
      </c>
      <c r="J26" s="74">
        <v>45761</v>
      </c>
      <c r="K26" s="75">
        <v>43160</v>
      </c>
      <c r="L26" s="75" t="s">
        <v>143</v>
      </c>
      <c r="N26" s="66" t="s">
        <v>144</v>
      </c>
      <c r="O26" s="66" t="s">
        <v>336</v>
      </c>
      <c r="P26" s="70" t="s">
        <v>290</v>
      </c>
      <c r="Q26" s="70" t="s">
        <v>257</v>
      </c>
      <c r="R26" s="70" t="s">
        <v>304</v>
      </c>
      <c r="S26" s="83" t="s">
        <v>156</v>
      </c>
      <c r="T26" s="83" t="s">
        <v>258</v>
      </c>
      <c r="U26" s="83" t="s">
        <v>148</v>
      </c>
      <c r="V26" s="86" t="s">
        <v>376</v>
      </c>
      <c r="Y26" s="86" t="s">
        <v>262</v>
      </c>
      <c r="AA26" s="83" t="s">
        <v>444</v>
      </c>
      <c r="AC26" s="83" t="s">
        <v>208</v>
      </c>
      <c r="AD26" s="83" t="s">
        <v>208</v>
      </c>
      <c r="AE26" s="83" t="s">
        <v>219</v>
      </c>
      <c r="AF26" s="83" t="s">
        <v>219</v>
      </c>
    </row>
    <row r="27" spans="1:32" ht="16" x14ac:dyDescent="0.2">
      <c r="A27" s="1">
        <v>26</v>
      </c>
      <c r="B27" s="1"/>
      <c r="C27" s="57" t="s">
        <v>543</v>
      </c>
      <c r="D27" s="70" t="s">
        <v>544</v>
      </c>
      <c r="E27" s="70" t="s">
        <v>545</v>
      </c>
      <c r="F27" s="73" t="s">
        <v>546</v>
      </c>
      <c r="G27" s="70" t="s">
        <v>455</v>
      </c>
      <c r="H27" s="70" t="str">
        <f>IF(Resources_full_data[[#This Row],[LinkIsAccesible ]] ="Page not found", "Excluded", " ")</f>
        <v>Excluded</v>
      </c>
      <c r="I27" s="74"/>
      <c r="J27" s="74">
        <f ca="1">TODAY()</f>
        <v>46058</v>
      </c>
      <c r="K27" s="75"/>
      <c r="L27" s="75" t="s">
        <v>143</v>
      </c>
    </row>
    <row r="28" spans="1:32" ht="73.5" customHeight="1" x14ac:dyDescent="0.2">
      <c r="A28" s="1">
        <v>27</v>
      </c>
      <c r="B28" s="1"/>
      <c r="C28" s="58" t="s">
        <v>547</v>
      </c>
      <c r="D28" s="78" t="s">
        <v>548</v>
      </c>
      <c r="E28" s="78" t="s">
        <v>548</v>
      </c>
      <c r="F28" s="73" t="s">
        <v>549</v>
      </c>
      <c r="G28" s="70" t="s">
        <v>140</v>
      </c>
      <c r="H28" s="70" t="s">
        <v>443</v>
      </c>
      <c r="I28" s="74" t="s">
        <v>142</v>
      </c>
      <c r="J28" s="74">
        <v>45761</v>
      </c>
      <c r="K28" s="75" t="s">
        <v>142</v>
      </c>
      <c r="L28" s="75" t="s">
        <v>143</v>
      </c>
      <c r="N28" s="66" t="s">
        <v>144</v>
      </c>
      <c r="O28" s="66" t="s">
        <v>145</v>
      </c>
      <c r="P28" s="70" t="s">
        <v>325</v>
      </c>
      <c r="Q28" s="70" t="s">
        <v>257</v>
      </c>
      <c r="R28" s="70" t="s">
        <v>145</v>
      </c>
      <c r="S28" s="83" t="s">
        <v>156</v>
      </c>
      <c r="U28" s="83" t="s">
        <v>181</v>
      </c>
      <c r="V28" s="86" t="s">
        <v>550</v>
      </c>
      <c r="Y28" s="86" t="s">
        <v>551</v>
      </c>
      <c r="AA28" s="83" t="s">
        <v>444</v>
      </c>
      <c r="AC28" s="83" t="s">
        <v>208</v>
      </c>
      <c r="AD28" s="83" t="s">
        <v>208</v>
      </c>
      <c r="AE28" s="83" t="s">
        <v>151</v>
      </c>
      <c r="AF28" s="83" t="s">
        <v>151</v>
      </c>
    </row>
    <row r="29" spans="1:32" ht="32" x14ac:dyDescent="0.2">
      <c r="A29" s="1">
        <v>28</v>
      </c>
      <c r="B29" s="1"/>
      <c r="C29" s="57" t="s">
        <v>552</v>
      </c>
      <c r="D29" s="70" t="s">
        <v>553</v>
      </c>
      <c r="E29" s="70" t="s">
        <v>554</v>
      </c>
      <c r="F29" s="76" t="s">
        <v>555</v>
      </c>
      <c r="G29" s="70" t="s">
        <v>140</v>
      </c>
      <c r="H29" s="70" t="s">
        <v>213</v>
      </c>
      <c r="I29" s="74" t="s">
        <v>556</v>
      </c>
      <c r="J29" s="74">
        <v>45761</v>
      </c>
      <c r="K29" s="74" t="s">
        <v>142</v>
      </c>
      <c r="L29" s="75" t="s">
        <v>143</v>
      </c>
    </row>
    <row r="30" spans="1:32" ht="32" x14ac:dyDescent="0.2">
      <c r="A30" s="1">
        <v>29</v>
      </c>
      <c r="B30" s="1"/>
      <c r="C30" s="58" t="s">
        <v>557</v>
      </c>
      <c r="D30" s="70" t="s">
        <v>558</v>
      </c>
      <c r="E30" s="70" t="s">
        <v>559</v>
      </c>
      <c r="F30" s="73" t="s">
        <v>560</v>
      </c>
      <c r="G30" s="70" t="s">
        <v>140</v>
      </c>
      <c r="H30" s="70" t="s">
        <v>443</v>
      </c>
      <c r="I30" s="74" t="s">
        <v>142</v>
      </c>
      <c r="J30" s="74">
        <v>45761</v>
      </c>
      <c r="K30" s="75">
        <v>43709</v>
      </c>
      <c r="L30" s="75" t="s">
        <v>143</v>
      </c>
      <c r="N30" s="66" t="s">
        <v>216</v>
      </c>
      <c r="O30" s="66" t="s">
        <v>217</v>
      </c>
      <c r="P30" s="70" t="s">
        <v>325</v>
      </c>
      <c r="Q30" s="70" t="s">
        <v>314</v>
      </c>
      <c r="R30" s="70" t="s">
        <v>217</v>
      </c>
      <c r="S30" s="83" t="s">
        <v>157</v>
      </c>
      <c r="T30" s="83" t="s">
        <v>357</v>
      </c>
      <c r="U30" s="83" t="s">
        <v>181</v>
      </c>
      <c r="V30" s="86" t="s">
        <v>258</v>
      </c>
      <c r="W30" s="86" t="s">
        <v>561</v>
      </c>
      <c r="AA30" s="83" t="s">
        <v>444</v>
      </c>
      <c r="AC30" s="83" t="s">
        <v>208</v>
      </c>
      <c r="AD30" s="83" t="s">
        <v>208</v>
      </c>
      <c r="AE30" s="83" t="s">
        <v>219</v>
      </c>
      <c r="AF30" s="83" t="s">
        <v>219</v>
      </c>
    </row>
    <row r="31" spans="1:32" ht="16" x14ac:dyDescent="0.2">
      <c r="A31" s="1">
        <v>30</v>
      </c>
      <c r="B31" s="1"/>
      <c r="C31" s="57" t="s">
        <v>562</v>
      </c>
      <c r="D31" s="70" t="s">
        <v>563</v>
      </c>
      <c r="E31" s="70" t="s">
        <v>563</v>
      </c>
      <c r="F31" s="76" t="s">
        <v>564</v>
      </c>
      <c r="G31" s="70" t="s">
        <v>140</v>
      </c>
      <c r="H31" s="70" t="s">
        <v>213</v>
      </c>
      <c r="I31" s="74" t="s">
        <v>565</v>
      </c>
      <c r="J31" s="74">
        <v>45761</v>
      </c>
      <c r="K31" s="74" t="s">
        <v>142</v>
      </c>
      <c r="L31" s="75" t="s">
        <v>143</v>
      </c>
    </row>
    <row r="32" spans="1:32" ht="16" x14ac:dyDescent="0.2">
      <c r="A32" s="1">
        <v>31</v>
      </c>
      <c r="B32" s="1"/>
      <c r="C32" s="58" t="s">
        <v>566</v>
      </c>
      <c r="D32" s="70" t="s">
        <v>567</v>
      </c>
      <c r="E32" s="70" t="s">
        <v>567</v>
      </c>
      <c r="F32" s="76" t="s">
        <v>568</v>
      </c>
      <c r="G32" s="70" t="s">
        <v>455</v>
      </c>
      <c r="H32" s="70" t="s">
        <v>213</v>
      </c>
      <c r="I32" s="74" t="str">
        <f>IF(Resources_full_data[[#This Row],[LinkIsAccesible ]] ="Page not found", "Page not found."," ")</f>
        <v>Page not found.</v>
      </c>
      <c r="J32" s="74">
        <v>45761</v>
      </c>
      <c r="K32" s="74" t="s">
        <v>142</v>
      </c>
      <c r="L32" s="75" t="s">
        <v>143</v>
      </c>
    </row>
    <row r="33" spans="1:32" ht="16" x14ac:dyDescent="0.2">
      <c r="A33" s="1">
        <v>32</v>
      </c>
      <c r="B33" s="1"/>
      <c r="C33" s="57" t="s">
        <v>569</v>
      </c>
      <c r="D33" s="70" t="s">
        <v>570</v>
      </c>
      <c r="E33" s="70" t="s">
        <v>570</v>
      </c>
      <c r="F33" s="73" t="s">
        <v>571</v>
      </c>
      <c r="G33" s="70" t="s">
        <v>140</v>
      </c>
      <c r="H33" s="70" t="s">
        <v>443</v>
      </c>
      <c r="I33" s="74" t="s">
        <v>142</v>
      </c>
      <c r="J33" s="74">
        <v>45761</v>
      </c>
      <c r="K33" s="75">
        <v>44256</v>
      </c>
      <c r="L33" s="75" t="s">
        <v>143</v>
      </c>
      <c r="N33" s="66" t="s">
        <v>144</v>
      </c>
      <c r="O33" s="66" t="s">
        <v>145</v>
      </c>
      <c r="P33" s="70" t="s">
        <v>325</v>
      </c>
      <c r="Q33" s="70" t="s">
        <v>257</v>
      </c>
      <c r="R33" s="70" t="s">
        <v>145</v>
      </c>
      <c r="S33" s="83" t="s">
        <v>156</v>
      </c>
      <c r="T33" s="83" t="s">
        <v>147</v>
      </c>
      <c r="U33" s="83" t="s">
        <v>181</v>
      </c>
      <c r="V33" s="86" t="s">
        <v>406</v>
      </c>
      <c r="Y33" s="86" t="s">
        <v>372</v>
      </c>
      <c r="AA33" s="83" t="s">
        <v>444</v>
      </c>
      <c r="AC33" s="83" t="s">
        <v>208</v>
      </c>
      <c r="AD33" s="83" t="s">
        <v>208</v>
      </c>
      <c r="AE33" s="83" t="s">
        <v>219</v>
      </c>
      <c r="AF33" s="83" t="s">
        <v>219</v>
      </c>
    </row>
    <row r="34" spans="1:32" ht="16" x14ac:dyDescent="0.2">
      <c r="A34" s="1">
        <v>33</v>
      </c>
      <c r="B34" s="1"/>
      <c r="C34" s="58" t="s">
        <v>572</v>
      </c>
      <c r="D34" s="70" t="s">
        <v>573</v>
      </c>
      <c r="E34" s="70" t="s">
        <v>573</v>
      </c>
      <c r="F34" s="73" t="s">
        <v>574</v>
      </c>
      <c r="G34" s="70" t="s">
        <v>140</v>
      </c>
      <c r="H34" s="70" t="s">
        <v>443</v>
      </c>
      <c r="I34" s="74" t="s">
        <v>142</v>
      </c>
      <c r="J34" s="74">
        <v>45761</v>
      </c>
      <c r="K34" s="75">
        <v>43709</v>
      </c>
      <c r="L34" s="75" t="s">
        <v>143</v>
      </c>
      <c r="N34" s="66" t="s">
        <v>144</v>
      </c>
      <c r="O34" s="66" t="s">
        <v>347</v>
      </c>
      <c r="P34" s="70" t="s">
        <v>325</v>
      </c>
      <c r="Q34" s="70" t="s">
        <v>347</v>
      </c>
      <c r="R34" s="70" t="s">
        <v>316</v>
      </c>
      <c r="S34" s="83" t="s">
        <v>146</v>
      </c>
      <c r="T34" s="83" t="s">
        <v>357</v>
      </c>
      <c r="U34" s="83" t="s">
        <v>181</v>
      </c>
      <c r="V34" s="86" t="s">
        <v>575</v>
      </c>
      <c r="Y34" s="86" t="s">
        <v>262</v>
      </c>
      <c r="AA34" s="83" t="s">
        <v>444</v>
      </c>
      <c r="AC34" s="83" t="s">
        <v>208</v>
      </c>
      <c r="AD34" s="83" t="s">
        <v>208</v>
      </c>
      <c r="AE34" s="83" t="s">
        <v>184</v>
      </c>
      <c r="AF34" s="83" t="s">
        <v>184</v>
      </c>
    </row>
    <row r="35" spans="1:32" ht="16" x14ac:dyDescent="0.2">
      <c r="A35" s="1">
        <v>34</v>
      </c>
      <c r="B35" s="1"/>
      <c r="C35" s="57" t="s">
        <v>576</v>
      </c>
      <c r="D35" s="70" t="s">
        <v>577</v>
      </c>
      <c r="E35" s="70" t="s">
        <v>578</v>
      </c>
      <c r="F35" s="76" t="s">
        <v>579</v>
      </c>
      <c r="G35" s="70" t="s">
        <v>140</v>
      </c>
      <c r="H35" s="70" t="s">
        <v>224</v>
      </c>
      <c r="I35" s="74" t="s">
        <v>580</v>
      </c>
      <c r="J35" s="74">
        <v>45761</v>
      </c>
      <c r="K35" s="74">
        <v>43374</v>
      </c>
      <c r="L35" s="75" t="s">
        <v>143</v>
      </c>
      <c r="N35" s="66" t="s">
        <v>581</v>
      </c>
      <c r="O35" s="66" t="s">
        <v>145</v>
      </c>
      <c r="S35" s="83" t="s">
        <v>179</v>
      </c>
      <c r="T35" s="83" t="s">
        <v>147</v>
      </c>
      <c r="U35" s="83" t="s">
        <v>169</v>
      </c>
      <c r="V35" s="86" t="s">
        <v>258</v>
      </c>
      <c r="W35" s="86" t="s">
        <v>582</v>
      </c>
      <c r="AC35" s="83" t="s">
        <v>208</v>
      </c>
      <c r="AD35" s="83" t="s">
        <v>208</v>
      </c>
      <c r="AE35" s="83" t="s">
        <v>171</v>
      </c>
      <c r="AF35" s="83" t="s">
        <v>171</v>
      </c>
    </row>
    <row r="36" spans="1:32" ht="61.5" customHeight="1" x14ac:dyDescent="0.2">
      <c r="A36" s="1">
        <v>35</v>
      </c>
      <c r="B36" s="1"/>
      <c r="C36" s="1" t="s">
        <v>583</v>
      </c>
      <c r="D36" s="70" t="s">
        <v>453</v>
      </c>
      <c r="E36" s="70" t="s">
        <v>453</v>
      </c>
      <c r="F36" s="73" t="s">
        <v>584</v>
      </c>
      <c r="G36" s="70" t="s">
        <v>140</v>
      </c>
      <c r="H36" s="70" t="s">
        <v>443</v>
      </c>
      <c r="I36" s="74" t="s">
        <v>142</v>
      </c>
      <c r="J36" s="74">
        <v>45761</v>
      </c>
      <c r="K36" s="75">
        <v>45292</v>
      </c>
      <c r="L36" s="75" t="s">
        <v>143</v>
      </c>
      <c r="N36" s="66" t="s">
        <v>144</v>
      </c>
      <c r="O36" s="66" t="s">
        <v>336</v>
      </c>
      <c r="P36" s="70" t="s">
        <v>290</v>
      </c>
      <c r="Q36" s="70" t="s">
        <v>257</v>
      </c>
      <c r="R36" s="70" t="s">
        <v>304</v>
      </c>
      <c r="S36" s="83" t="s">
        <v>179</v>
      </c>
      <c r="T36" s="83" t="s">
        <v>327</v>
      </c>
      <c r="U36" s="83" t="s">
        <v>148</v>
      </c>
      <c r="V36" s="86" t="s">
        <v>258</v>
      </c>
      <c r="W36" s="86" t="s">
        <v>585</v>
      </c>
      <c r="Y36" s="86" t="s">
        <v>586</v>
      </c>
      <c r="AA36" s="83" t="s">
        <v>444</v>
      </c>
      <c r="AC36" s="83" t="s">
        <v>208</v>
      </c>
      <c r="AD36" s="83" t="s">
        <v>208</v>
      </c>
      <c r="AE36" s="83" t="s">
        <v>184</v>
      </c>
      <c r="AF36" s="83" t="s">
        <v>184</v>
      </c>
    </row>
    <row r="37" spans="1:32" ht="32" x14ac:dyDescent="0.2">
      <c r="A37" s="1">
        <v>36</v>
      </c>
      <c r="B37" s="1"/>
      <c r="C37" s="57" t="s">
        <v>479</v>
      </c>
      <c r="D37" s="70" t="s">
        <v>587</v>
      </c>
      <c r="E37" s="70" t="s">
        <v>587</v>
      </c>
      <c r="F37" s="73" t="s">
        <v>588</v>
      </c>
      <c r="G37" s="70" t="s">
        <v>140</v>
      </c>
      <c r="H37" s="70" t="s">
        <v>443</v>
      </c>
      <c r="I37" s="74" t="s">
        <v>142</v>
      </c>
      <c r="J37" s="74">
        <v>45761</v>
      </c>
      <c r="K37" s="75"/>
      <c r="L37" s="75" t="s">
        <v>143</v>
      </c>
      <c r="N37" s="66" t="s">
        <v>346</v>
      </c>
      <c r="O37" s="66" t="s">
        <v>145</v>
      </c>
      <c r="P37" s="70" t="s">
        <v>302</v>
      </c>
      <c r="Q37" s="70" t="s">
        <v>387</v>
      </c>
      <c r="R37" s="70" t="s">
        <v>145</v>
      </c>
      <c r="S37" s="83" t="s">
        <v>179</v>
      </c>
      <c r="T37" s="83" t="s">
        <v>147</v>
      </c>
      <c r="U37" s="83" t="s">
        <v>148</v>
      </c>
      <c r="V37" s="86" t="s">
        <v>258</v>
      </c>
      <c r="Y37" s="86" t="s">
        <v>589</v>
      </c>
      <c r="AA37" s="83" t="s">
        <v>444</v>
      </c>
      <c r="AC37" s="83" t="s">
        <v>208</v>
      </c>
      <c r="AD37" s="83" t="s">
        <v>208</v>
      </c>
      <c r="AE37" s="83" t="s">
        <v>151</v>
      </c>
      <c r="AF37" s="83" t="s">
        <v>151</v>
      </c>
    </row>
    <row r="38" spans="1:32" ht="16" x14ac:dyDescent="0.2">
      <c r="A38" s="1">
        <v>37</v>
      </c>
      <c r="B38" s="1"/>
      <c r="C38" s="58" t="s">
        <v>488</v>
      </c>
      <c r="D38" s="70" t="s">
        <v>590</v>
      </c>
      <c r="E38" s="70" t="s">
        <v>590</v>
      </c>
      <c r="F38" s="76" t="s">
        <v>591</v>
      </c>
      <c r="G38" s="70" t="s">
        <v>455</v>
      </c>
      <c r="H38" s="70" t="s">
        <v>213</v>
      </c>
      <c r="I38" s="74" t="str">
        <f>IF(Resources_full_data[[#This Row],[LinkIsAccesible ]] ="Page not found", "Page not found."," ")</f>
        <v>Page not found.</v>
      </c>
      <c r="J38" s="74">
        <v>45761</v>
      </c>
      <c r="K38" s="74" t="s">
        <v>142</v>
      </c>
      <c r="L38" s="75" t="s">
        <v>143</v>
      </c>
    </row>
    <row r="39" spans="1:32" x14ac:dyDescent="0.2">
      <c r="A39" s="1">
        <v>38</v>
      </c>
      <c r="B39" s="1"/>
      <c r="C39" s="1" t="s">
        <v>592</v>
      </c>
      <c r="D39" s="70" t="s">
        <v>593</v>
      </c>
      <c r="E39" s="70" t="s">
        <v>593</v>
      </c>
      <c r="F39" s="73" t="s">
        <v>594</v>
      </c>
      <c r="G39" s="70" t="s">
        <v>140</v>
      </c>
      <c r="H39" s="70" t="s">
        <v>443</v>
      </c>
      <c r="I39" s="74" t="s">
        <v>142</v>
      </c>
      <c r="J39" s="74">
        <v>45761</v>
      </c>
      <c r="K39" s="75">
        <v>44927</v>
      </c>
      <c r="L39" s="75" t="s">
        <v>143</v>
      </c>
      <c r="N39" s="66" t="s">
        <v>144</v>
      </c>
      <c r="O39" s="66" t="s">
        <v>336</v>
      </c>
      <c r="P39" s="70" t="s">
        <v>290</v>
      </c>
      <c r="Q39" s="70" t="s">
        <v>257</v>
      </c>
      <c r="R39" s="70" t="s">
        <v>304</v>
      </c>
      <c r="S39" s="83" t="s">
        <v>179</v>
      </c>
      <c r="T39" s="83" t="s">
        <v>147</v>
      </c>
      <c r="U39" s="83" t="s">
        <v>148</v>
      </c>
      <c r="V39" s="86" t="s">
        <v>258</v>
      </c>
      <c r="W39" s="86" t="s">
        <v>595</v>
      </c>
      <c r="Y39" s="86" t="s">
        <v>262</v>
      </c>
      <c r="AA39" s="83" t="s">
        <v>444</v>
      </c>
      <c r="AC39" s="83" t="s">
        <v>208</v>
      </c>
      <c r="AD39" s="83" t="s">
        <v>208</v>
      </c>
      <c r="AE39" s="83" t="s">
        <v>151</v>
      </c>
      <c r="AF39" s="83" t="s">
        <v>151</v>
      </c>
    </row>
    <row r="40" spans="1:32" x14ac:dyDescent="0.2">
      <c r="A40" s="1">
        <v>39</v>
      </c>
      <c r="B40" s="1"/>
      <c r="C40" s="1" t="s">
        <v>596</v>
      </c>
      <c r="D40" s="70" t="s">
        <v>597</v>
      </c>
      <c r="E40" s="70" t="s">
        <v>597</v>
      </c>
      <c r="F40" s="73" t="s">
        <v>598</v>
      </c>
      <c r="G40" s="70" t="s">
        <v>140</v>
      </c>
      <c r="H40" s="70" t="s">
        <v>443</v>
      </c>
      <c r="I40" s="74" t="s">
        <v>142</v>
      </c>
      <c r="J40" s="74">
        <v>45761</v>
      </c>
      <c r="K40" s="75">
        <v>44317</v>
      </c>
      <c r="L40" s="75" t="s">
        <v>143</v>
      </c>
      <c r="N40" s="66" t="s">
        <v>167</v>
      </c>
      <c r="O40" s="66" t="s">
        <v>168</v>
      </c>
      <c r="P40" s="70" t="s">
        <v>290</v>
      </c>
      <c r="Q40" s="70" t="s">
        <v>168</v>
      </c>
      <c r="R40" s="70" t="s">
        <v>304</v>
      </c>
      <c r="S40" s="83" t="s">
        <v>599</v>
      </c>
      <c r="T40" s="83" t="s">
        <v>189</v>
      </c>
      <c r="U40" s="83" t="s">
        <v>369</v>
      </c>
      <c r="V40" s="86" t="s">
        <v>258</v>
      </c>
      <c r="W40" s="86" t="s">
        <v>600</v>
      </c>
      <c r="Y40" s="86" t="s">
        <v>372</v>
      </c>
      <c r="AA40" s="83" t="s">
        <v>520</v>
      </c>
      <c r="AB40" s="88" t="s">
        <v>598</v>
      </c>
      <c r="AC40" s="83" t="s">
        <v>310</v>
      </c>
      <c r="AD40" s="83" t="s">
        <v>601</v>
      </c>
      <c r="AE40" s="83" t="s">
        <v>322</v>
      </c>
      <c r="AF40" s="83" t="s">
        <v>184</v>
      </c>
    </row>
    <row r="41" spans="1:32" x14ac:dyDescent="0.2">
      <c r="A41" s="1">
        <v>40</v>
      </c>
      <c r="B41" s="1" t="s">
        <v>429</v>
      </c>
      <c r="C41" s="1" t="s">
        <v>172</v>
      </c>
      <c r="D41" s="70" t="s">
        <v>173</v>
      </c>
      <c r="E41" s="70" t="s">
        <v>174</v>
      </c>
      <c r="F41" s="73" t="s">
        <v>175</v>
      </c>
      <c r="G41" s="70" t="s">
        <v>140</v>
      </c>
      <c r="H41" s="70" t="s">
        <v>443</v>
      </c>
      <c r="I41" s="74" t="s">
        <v>142</v>
      </c>
      <c r="J41" s="74">
        <v>45761</v>
      </c>
      <c r="K41" s="75">
        <v>43586</v>
      </c>
      <c r="L41" s="75" t="s">
        <v>143</v>
      </c>
      <c r="N41" s="66" t="s">
        <v>144</v>
      </c>
      <c r="O41" s="66" t="s">
        <v>336</v>
      </c>
      <c r="P41" s="70" t="s">
        <v>290</v>
      </c>
      <c r="Q41" s="70" t="s">
        <v>257</v>
      </c>
      <c r="R41" s="70" t="s">
        <v>304</v>
      </c>
      <c r="S41" s="83" t="s">
        <v>179</v>
      </c>
      <c r="T41" s="83" t="s">
        <v>180</v>
      </c>
      <c r="U41" s="83" t="s">
        <v>181</v>
      </c>
      <c r="V41" s="86" t="s">
        <v>258</v>
      </c>
      <c r="Y41" s="86" t="s">
        <v>602</v>
      </c>
      <c r="AA41" s="83" t="s">
        <v>444</v>
      </c>
      <c r="AC41" s="83" t="s">
        <v>208</v>
      </c>
      <c r="AD41" s="83" t="s">
        <v>208</v>
      </c>
      <c r="AE41" s="83" t="s">
        <v>151</v>
      </c>
      <c r="AF41" s="83" t="s">
        <v>151</v>
      </c>
    </row>
    <row r="42" spans="1:32" x14ac:dyDescent="0.2">
      <c r="A42" s="1">
        <v>41</v>
      </c>
      <c r="B42" s="1"/>
      <c r="C42" s="1" t="s">
        <v>603</v>
      </c>
      <c r="D42" s="70" t="s">
        <v>604</v>
      </c>
      <c r="E42" s="70" t="s">
        <v>604</v>
      </c>
      <c r="F42" s="73" t="s">
        <v>605</v>
      </c>
      <c r="G42" s="70" t="s">
        <v>140</v>
      </c>
      <c r="H42" s="70" t="s">
        <v>443</v>
      </c>
      <c r="I42" s="74" t="s">
        <v>142</v>
      </c>
      <c r="J42" s="74">
        <v>45761</v>
      </c>
      <c r="K42" s="75">
        <v>45748</v>
      </c>
      <c r="L42" s="75" t="s">
        <v>143</v>
      </c>
      <c r="N42" s="66" t="s">
        <v>216</v>
      </c>
      <c r="O42" s="66" t="s">
        <v>145</v>
      </c>
      <c r="P42" s="70" t="s">
        <v>290</v>
      </c>
      <c r="Q42" s="70" t="s">
        <v>257</v>
      </c>
      <c r="R42" s="70" t="s">
        <v>145</v>
      </c>
      <c r="S42" s="83" t="s">
        <v>179</v>
      </c>
      <c r="T42" s="83" t="s">
        <v>147</v>
      </c>
      <c r="U42" s="83" t="s">
        <v>148</v>
      </c>
      <c r="V42" s="86" t="s">
        <v>258</v>
      </c>
      <c r="W42" s="86" t="s">
        <v>383</v>
      </c>
      <c r="AA42" s="83" t="s">
        <v>520</v>
      </c>
      <c r="AB42" s="88" t="s">
        <v>605</v>
      </c>
      <c r="AC42" s="83" t="s">
        <v>606</v>
      </c>
      <c r="AD42" s="83" t="s">
        <v>208</v>
      </c>
      <c r="AE42" s="83" t="s">
        <v>322</v>
      </c>
      <c r="AF42" s="83" t="s">
        <v>312</v>
      </c>
    </row>
    <row r="43" spans="1:32" ht="32" x14ac:dyDescent="0.2">
      <c r="A43" s="1">
        <v>42</v>
      </c>
      <c r="B43" s="1"/>
      <c r="C43" s="57" t="s">
        <v>479</v>
      </c>
      <c r="D43" s="70" t="s">
        <v>607</v>
      </c>
      <c r="E43" s="70" t="s">
        <v>607</v>
      </c>
      <c r="F43" s="73" t="s">
        <v>608</v>
      </c>
      <c r="G43" s="70" t="s">
        <v>140</v>
      </c>
      <c r="H43" s="70" t="s">
        <v>443</v>
      </c>
      <c r="I43" s="74" t="s">
        <v>142</v>
      </c>
      <c r="J43" s="74">
        <v>45761</v>
      </c>
      <c r="K43" s="75"/>
      <c r="L43" s="75" t="s">
        <v>143</v>
      </c>
      <c r="N43" s="66" t="s">
        <v>346</v>
      </c>
      <c r="O43" s="66" t="s">
        <v>145</v>
      </c>
      <c r="P43" s="70" t="s">
        <v>302</v>
      </c>
      <c r="Q43" s="70" t="s">
        <v>387</v>
      </c>
      <c r="R43" s="70" t="s">
        <v>145</v>
      </c>
      <c r="S43" s="83" t="s">
        <v>179</v>
      </c>
      <c r="T43" s="83" t="s">
        <v>147</v>
      </c>
      <c r="U43" s="83" t="s">
        <v>148</v>
      </c>
      <c r="V43" s="86" t="s">
        <v>258</v>
      </c>
      <c r="Y43" s="86" t="s">
        <v>589</v>
      </c>
      <c r="AA43" s="83" t="s">
        <v>444</v>
      </c>
      <c r="AC43" s="83" t="s">
        <v>208</v>
      </c>
      <c r="AD43" s="83" t="s">
        <v>208</v>
      </c>
      <c r="AE43" s="83" t="s">
        <v>151</v>
      </c>
      <c r="AF43" s="83" t="s">
        <v>151</v>
      </c>
    </row>
    <row r="44" spans="1:32" ht="32" x14ac:dyDescent="0.2">
      <c r="A44" s="1">
        <v>43</v>
      </c>
      <c r="B44" s="1"/>
      <c r="C44" s="58" t="s">
        <v>609</v>
      </c>
      <c r="D44" s="70" t="s">
        <v>610</v>
      </c>
      <c r="E44" s="70" t="s">
        <v>611</v>
      </c>
      <c r="F44" s="73" t="s">
        <v>612</v>
      </c>
      <c r="G44" s="70" t="s">
        <v>140</v>
      </c>
      <c r="H44" s="70" t="s">
        <v>224</v>
      </c>
      <c r="I44" s="74" t="s">
        <v>613</v>
      </c>
      <c r="J44" s="74">
        <v>45761</v>
      </c>
      <c r="K44" s="75">
        <v>45748</v>
      </c>
      <c r="L44" s="75" t="s">
        <v>143</v>
      </c>
      <c r="N44" s="66" t="s">
        <v>144</v>
      </c>
      <c r="O44" s="66" t="s">
        <v>255</v>
      </c>
      <c r="S44" s="83" t="s">
        <v>156</v>
      </c>
      <c r="T44" s="83" t="s">
        <v>147</v>
      </c>
      <c r="U44" s="83" t="s">
        <v>148</v>
      </c>
      <c r="V44" s="86" t="s">
        <v>258</v>
      </c>
      <c r="Y44" s="86" t="s">
        <v>262</v>
      </c>
      <c r="AC44" s="83" t="s">
        <v>208</v>
      </c>
      <c r="AD44" s="83" t="s">
        <v>208</v>
      </c>
      <c r="AE44" s="83" t="s">
        <v>151</v>
      </c>
      <c r="AF44" s="83" t="s">
        <v>151</v>
      </c>
    </row>
    <row r="45" spans="1:32" ht="32" x14ac:dyDescent="0.2">
      <c r="A45" s="1">
        <v>44</v>
      </c>
      <c r="B45" s="1"/>
      <c r="C45" s="57" t="s">
        <v>614</v>
      </c>
      <c r="D45" s="70" t="s">
        <v>615</v>
      </c>
      <c r="E45" s="70" t="s">
        <v>616</v>
      </c>
      <c r="F45" s="73" t="s">
        <v>617</v>
      </c>
      <c r="G45" s="70" t="s">
        <v>140</v>
      </c>
      <c r="H45" s="70" t="s">
        <v>443</v>
      </c>
      <c r="I45" s="74" t="s">
        <v>142</v>
      </c>
      <c r="J45" s="74">
        <v>45761</v>
      </c>
      <c r="K45" s="75">
        <v>45292</v>
      </c>
      <c r="L45" s="75" t="s">
        <v>143</v>
      </c>
      <c r="M45" s="68"/>
      <c r="N45" s="66" t="s">
        <v>324</v>
      </c>
      <c r="O45" s="66" t="s">
        <v>168</v>
      </c>
      <c r="P45" s="70" t="s">
        <v>256</v>
      </c>
      <c r="Q45" s="70" t="s">
        <v>168</v>
      </c>
      <c r="R45" s="70" t="s">
        <v>304</v>
      </c>
      <c r="S45" s="83" t="s">
        <v>179</v>
      </c>
      <c r="T45" s="83" t="s">
        <v>189</v>
      </c>
      <c r="U45" s="83" t="s">
        <v>181</v>
      </c>
      <c r="V45" s="86" t="s">
        <v>618</v>
      </c>
      <c r="W45" s="86" t="s">
        <v>619</v>
      </c>
      <c r="Y45" s="86" t="s">
        <v>620</v>
      </c>
      <c r="AA45" s="83" t="s">
        <v>520</v>
      </c>
      <c r="AB45" s="88" t="s">
        <v>617</v>
      </c>
      <c r="AC45" s="89" t="s">
        <v>621</v>
      </c>
      <c r="AE45" s="83" t="s">
        <v>184</v>
      </c>
      <c r="AF45" s="83" t="s">
        <v>184</v>
      </c>
    </row>
    <row r="46" spans="1:32" ht="32" x14ac:dyDescent="0.2">
      <c r="A46" s="1">
        <v>45</v>
      </c>
      <c r="B46" s="1" t="s">
        <v>429</v>
      </c>
      <c r="C46" s="58" t="s">
        <v>622</v>
      </c>
      <c r="D46" s="70" t="s">
        <v>221</v>
      </c>
      <c r="E46" s="70" t="s">
        <v>222</v>
      </c>
      <c r="F46" s="73" t="s">
        <v>223</v>
      </c>
      <c r="G46" s="70" t="s">
        <v>140</v>
      </c>
      <c r="H46" s="70" t="s">
        <v>224</v>
      </c>
      <c r="I46" s="74" t="s">
        <v>446</v>
      </c>
      <c r="J46" s="74">
        <v>45761</v>
      </c>
      <c r="K46" s="74" t="s">
        <v>142</v>
      </c>
      <c r="L46" s="75" t="s">
        <v>143</v>
      </c>
      <c r="N46" s="66" t="s">
        <v>216</v>
      </c>
      <c r="O46" s="66" t="s">
        <v>145</v>
      </c>
    </row>
    <row r="47" spans="1:32" x14ac:dyDescent="0.2">
      <c r="A47" s="1">
        <v>46</v>
      </c>
      <c r="B47" s="1"/>
      <c r="C47" s="1" t="s">
        <v>623</v>
      </c>
      <c r="D47" s="70" t="s">
        <v>624</v>
      </c>
      <c r="E47" s="70" t="s">
        <v>625</v>
      </c>
      <c r="F47" s="73" t="s">
        <v>626</v>
      </c>
      <c r="G47" s="70" t="s">
        <v>140</v>
      </c>
      <c r="H47" s="70" t="s">
        <v>443</v>
      </c>
      <c r="I47" s="74" t="s">
        <v>142</v>
      </c>
      <c r="J47" s="74">
        <v>45761</v>
      </c>
      <c r="K47" s="75">
        <v>45748</v>
      </c>
      <c r="L47" s="75" t="s">
        <v>143</v>
      </c>
      <c r="N47" s="66" t="s">
        <v>144</v>
      </c>
      <c r="O47" s="66" t="s">
        <v>145</v>
      </c>
      <c r="P47" s="70" t="s">
        <v>290</v>
      </c>
      <c r="Q47" s="70" t="s">
        <v>347</v>
      </c>
      <c r="R47" s="70" t="s">
        <v>145</v>
      </c>
      <c r="S47" s="83" t="s">
        <v>146</v>
      </c>
      <c r="T47" s="83" t="s">
        <v>147</v>
      </c>
      <c r="U47" s="83" t="s">
        <v>148</v>
      </c>
      <c r="Y47" s="86" t="s">
        <v>262</v>
      </c>
      <c r="AA47" s="83" t="s">
        <v>520</v>
      </c>
      <c r="AB47" s="83" t="s">
        <v>627</v>
      </c>
      <c r="AC47" s="83" t="s">
        <v>258</v>
      </c>
      <c r="AD47" s="83" t="s">
        <v>628</v>
      </c>
      <c r="AE47" s="83" t="s">
        <v>184</v>
      </c>
      <c r="AF47" s="83" t="s">
        <v>312</v>
      </c>
    </row>
    <row r="48" spans="1:32" ht="48" x14ac:dyDescent="0.2">
      <c r="A48" s="1">
        <v>47</v>
      </c>
      <c r="B48" s="1" t="s">
        <v>429</v>
      </c>
      <c r="C48" s="58" t="s">
        <v>185</v>
      </c>
      <c r="D48" s="72" t="s">
        <v>185</v>
      </c>
      <c r="E48" s="72" t="s">
        <v>185</v>
      </c>
      <c r="F48" s="73" t="s">
        <v>186</v>
      </c>
      <c r="G48" s="70" t="s">
        <v>140</v>
      </c>
      <c r="H48" s="70" t="s">
        <v>443</v>
      </c>
      <c r="I48" s="74" t="s">
        <v>142</v>
      </c>
      <c r="J48" s="74">
        <v>45770</v>
      </c>
      <c r="K48" s="75"/>
      <c r="L48" s="75" t="s">
        <v>143</v>
      </c>
      <c r="N48" s="66" t="s">
        <v>305</v>
      </c>
      <c r="O48" s="66" t="s">
        <v>145</v>
      </c>
      <c r="P48" s="70" t="s">
        <v>256</v>
      </c>
      <c r="Q48" s="70" t="s">
        <v>400</v>
      </c>
      <c r="R48" s="70" t="s">
        <v>145</v>
      </c>
      <c r="S48" s="83" t="s">
        <v>179</v>
      </c>
      <c r="T48" s="83" t="s">
        <v>189</v>
      </c>
      <c r="U48" s="83" t="s">
        <v>148</v>
      </c>
      <c r="V48" s="86" t="s">
        <v>149</v>
      </c>
      <c r="Y48" s="86" t="s">
        <v>190</v>
      </c>
      <c r="AA48" s="83" t="s">
        <v>444</v>
      </c>
      <c r="AC48" s="83" t="s">
        <v>208</v>
      </c>
      <c r="AD48" s="83" t="s">
        <v>208</v>
      </c>
      <c r="AE48" s="83" t="s">
        <v>312</v>
      </c>
      <c r="AF48" s="83" t="s">
        <v>312</v>
      </c>
    </row>
    <row r="49" spans="1:32" ht="48" x14ac:dyDescent="0.2">
      <c r="A49" s="1">
        <v>48</v>
      </c>
      <c r="B49" s="1"/>
      <c r="C49" s="57" t="s">
        <v>629</v>
      </c>
      <c r="D49" s="72" t="s">
        <v>630</v>
      </c>
      <c r="E49" s="72" t="s">
        <v>630</v>
      </c>
      <c r="F49" s="73" t="s">
        <v>631</v>
      </c>
      <c r="G49" s="70" t="s">
        <v>140</v>
      </c>
      <c r="H49" s="70" t="s">
        <v>443</v>
      </c>
      <c r="I49" s="74" t="s">
        <v>142</v>
      </c>
      <c r="J49" s="74">
        <v>45770</v>
      </c>
      <c r="K49" s="75"/>
      <c r="L49" s="75" t="s">
        <v>143</v>
      </c>
      <c r="N49" s="66" t="s">
        <v>188</v>
      </c>
      <c r="O49" s="66" t="s">
        <v>145</v>
      </c>
      <c r="P49" s="70" t="s">
        <v>315</v>
      </c>
      <c r="Q49" s="70" t="s">
        <v>400</v>
      </c>
      <c r="R49" s="70" t="s">
        <v>145</v>
      </c>
      <c r="S49" s="83" t="s">
        <v>156</v>
      </c>
      <c r="T49" s="83" t="s">
        <v>269</v>
      </c>
      <c r="U49" s="83" t="s">
        <v>283</v>
      </c>
      <c r="V49" s="86" t="s">
        <v>218</v>
      </c>
      <c r="W49" s="86" t="s">
        <v>370</v>
      </c>
      <c r="AA49" s="83" t="s">
        <v>444</v>
      </c>
      <c r="AC49" s="83" t="s">
        <v>208</v>
      </c>
      <c r="AD49" s="83" t="s">
        <v>208</v>
      </c>
      <c r="AE49" s="83" t="s">
        <v>632</v>
      </c>
      <c r="AF49" s="83" t="s">
        <v>632</v>
      </c>
    </row>
    <row r="50" spans="1:32" ht="16" x14ac:dyDescent="0.2">
      <c r="A50" s="1">
        <v>49</v>
      </c>
      <c r="B50" s="1"/>
      <c r="C50" s="58" t="s">
        <v>633</v>
      </c>
      <c r="F50" s="73" t="s">
        <v>634</v>
      </c>
      <c r="G50" s="70" t="s">
        <v>455</v>
      </c>
      <c r="H50" s="70" t="str">
        <f>IF(Resources_full_data[[#This Row],[LinkIsAccesible ]] ="Page not found", "Excluded", " ")</f>
        <v>Excluded</v>
      </c>
      <c r="I50" s="74" t="str">
        <f>IF(Resources_full_data[[#This Row],[LinkIsAccesible ]] ="Page not found", "Page not found."," ")</f>
        <v>Page not found.</v>
      </c>
      <c r="J50" s="75">
        <v>45770</v>
      </c>
      <c r="K50" s="74" t="s">
        <v>142</v>
      </c>
      <c r="L50" s="75" t="s">
        <v>143</v>
      </c>
    </row>
    <row r="51" spans="1:32" ht="32" x14ac:dyDescent="0.2">
      <c r="A51" s="1">
        <v>50</v>
      </c>
      <c r="B51" s="1"/>
      <c r="C51" s="57" t="s">
        <v>635</v>
      </c>
      <c r="F51" s="73" t="s">
        <v>636</v>
      </c>
      <c r="G51" s="70" t="s">
        <v>455</v>
      </c>
      <c r="H51" s="70" t="str">
        <f>IF(Resources_full_data[[#This Row],[LinkIsAccesible ]] ="Page not found", "Excluded", " ")</f>
        <v>Excluded</v>
      </c>
      <c r="I51" s="74" t="str">
        <f>IF(Resources_full_data[[#This Row],[LinkIsAccesible ]] ="Page not found", "Page not found."," ")</f>
        <v>Page not found.</v>
      </c>
      <c r="J51" s="75">
        <v>45770</v>
      </c>
      <c r="K51" s="74" t="s">
        <v>142</v>
      </c>
      <c r="L51" s="75" t="s">
        <v>143</v>
      </c>
    </row>
    <row r="52" spans="1:32" ht="32" x14ac:dyDescent="0.2">
      <c r="A52" s="1">
        <v>51</v>
      </c>
      <c r="B52" s="1"/>
      <c r="C52" s="58" t="s">
        <v>637</v>
      </c>
      <c r="D52" s="70" t="s">
        <v>638</v>
      </c>
      <c r="E52" s="70" t="s">
        <v>638</v>
      </c>
      <c r="F52" s="76" t="s">
        <v>639</v>
      </c>
      <c r="G52" s="70" t="s">
        <v>455</v>
      </c>
      <c r="H52" s="70" t="s">
        <v>224</v>
      </c>
      <c r="I52" s="74" t="str">
        <f>IF(Resources_full_data[[#This Row],[LinkIsAccesible ]] ="Page not found", "Page not found."," ")</f>
        <v>Page not found.</v>
      </c>
      <c r="J52" s="75">
        <v>45771</v>
      </c>
      <c r="K52" s="74" t="s">
        <v>142</v>
      </c>
      <c r="L52" s="75" t="s">
        <v>143</v>
      </c>
    </row>
    <row r="53" spans="1:32" ht="16" x14ac:dyDescent="0.2">
      <c r="A53" s="1">
        <v>52</v>
      </c>
      <c r="B53" s="1" t="s">
        <v>429</v>
      </c>
      <c r="C53" s="57" t="s">
        <v>152</v>
      </c>
      <c r="D53" s="70" t="s">
        <v>153</v>
      </c>
      <c r="E53" s="70" t="s">
        <v>153</v>
      </c>
      <c r="F53" s="76" t="s">
        <v>154</v>
      </c>
      <c r="G53" s="70" t="s">
        <v>140</v>
      </c>
      <c r="H53" s="70" t="s">
        <v>443</v>
      </c>
      <c r="I53" s="74" t="s">
        <v>142</v>
      </c>
      <c r="J53" s="75">
        <v>45771</v>
      </c>
      <c r="K53" s="75">
        <f ca="1">TODAY()</f>
        <v>46058</v>
      </c>
      <c r="L53" s="75" t="s">
        <v>143</v>
      </c>
      <c r="M53" s="69"/>
      <c r="N53" s="66" t="s">
        <v>144</v>
      </c>
      <c r="O53" s="66" t="s">
        <v>155</v>
      </c>
      <c r="P53" s="70" t="s">
        <v>256</v>
      </c>
      <c r="Q53" s="70" t="s">
        <v>400</v>
      </c>
      <c r="R53" s="70" t="s">
        <v>145</v>
      </c>
      <c r="S53" s="83" t="s">
        <v>156</v>
      </c>
      <c r="T53" s="83" t="s">
        <v>157</v>
      </c>
      <c r="U53" s="83" t="s">
        <v>158</v>
      </c>
      <c r="V53" s="86" t="s">
        <v>258</v>
      </c>
      <c r="W53" s="86" t="s">
        <v>640</v>
      </c>
      <c r="Y53" s="86" t="s">
        <v>320</v>
      </c>
      <c r="AA53" s="83" t="s">
        <v>444</v>
      </c>
      <c r="AC53" s="83" t="s">
        <v>162</v>
      </c>
      <c r="AD53" s="83" t="s">
        <v>163</v>
      </c>
      <c r="AE53" s="83" t="s">
        <v>151</v>
      </c>
      <c r="AF53" s="83" t="s">
        <v>151</v>
      </c>
    </row>
    <row r="54" spans="1:32" x14ac:dyDescent="0.2">
      <c r="A54" s="1">
        <v>53</v>
      </c>
      <c r="B54" s="1"/>
      <c r="C54" s="1" t="s">
        <v>641</v>
      </c>
      <c r="D54" s="70" t="s">
        <v>642</v>
      </c>
      <c r="E54" s="70" t="s">
        <v>642</v>
      </c>
      <c r="F54" s="76" t="s">
        <v>643</v>
      </c>
      <c r="G54" s="70" t="s">
        <v>140</v>
      </c>
      <c r="H54" s="70" t="s">
        <v>443</v>
      </c>
      <c r="I54" s="74" t="s">
        <v>142</v>
      </c>
      <c r="J54" s="75">
        <v>45771</v>
      </c>
      <c r="K54" s="75"/>
      <c r="L54" s="75" t="s">
        <v>143</v>
      </c>
      <c r="N54" s="66" t="s">
        <v>144</v>
      </c>
      <c r="O54" s="66" t="s">
        <v>155</v>
      </c>
      <c r="P54" s="70" t="s">
        <v>290</v>
      </c>
      <c r="Q54" s="70" t="s">
        <v>257</v>
      </c>
      <c r="R54" s="70" t="s">
        <v>304</v>
      </c>
      <c r="S54" s="83" t="s">
        <v>179</v>
      </c>
      <c r="T54" s="83" t="s">
        <v>157</v>
      </c>
      <c r="U54" s="83" t="s">
        <v>369</v>
      </c>
      <c r="V54" s="86" t="s">
        <v>376</v>
      </c>
      <c r="Y54" s="86" t="s">
        <v>262</v>
      </c>
      <c r="AA54" s="83" t="s">
        <v>444</v>
      </c>
      <c r="AC54" s="83" t="s">
        <v>208</v>
      </c>
      <c r="AD54" s="83" t="s">
        <v>208</v>
      </c>
      <c r="AE54" s="83" t="s">
        <v>171</v>
      </c>
      <c r="AF54" s="83" t="s">
        <v>151</v>
      </c>
    </row>
    <row r="55" spans="1:32" ht="96" x14ac:dyDescent="0.2">
      <c r="A55" s="1">
        <v>54</v>
      </c>
      <c r="B55" s="1" t="s">
        <v>429</v>
      </c>
      <c r="C55" s="1" t="s">
        <v>644</v>
      </c>
      <c r="D55" s="72" t="s">
        <v>165</v>
      </c>
      <c r="E55" s="72" t="s">
        <v>165</v>
      </c>
      <c r="F55" s="76" t="s">
        <v>166</v>
      </c>
      <c r="G55" s="70" t="s">
        <v>140</v>
      </c>
      <c r="H55" s="70" t="s">
        <v>443</v>
      </c>
      <c r="I55" s="74" t="s">
        <v>142</v>
      </c>
      <c r="J55" s="75">
        <v>45771</v>
      </c>
      <c r="K55" s="75">
        <v>45748</v>
      </c>
      <c r="L55" s="75" t="s">
        <v>143</v>
      </c>
      <c r="N55" s="66" t="s">
        <v>167</v>
      </c>
      <c r="O55" s="66" t="s">
        <v>168</v>
      </c>
      <c r="P55" s="70" t="s">
        <v>290</v>
      </c>
      <c r="Q55" s="70" t="s">
        <v>289</v>
      </c>
      <c r="R55" s="70" t="s">
        <v>304</v>
      </c>
      <c r="S55" s="83" t="s">
        <v>156</v>
      </c>
      <c r="T55" s="83" t="s">
        <v>157</v>
      </c>
      <c r="U55" s="83" t="s">
        <v>369</v>
      </c>
      <c r="V55" s="86" t="s">
        <v>258</v>
      </c>
      <c r="W55" s="86" t="s">
        <v>370</v>
      </c>
      <c r="Y55" s="86" t="s">
        <v>645</v>
      </c>
      <c r="AA55" s="83" t="s">
        <v>444</v>
      </c>
      <c r="AC55" s="83" t="s">
        <v>208</v>
      </c>
      <c r="AD55" s="83" t="s">
        <v>208</v>
      </c>
      <c r="AE55" s="83" t="s">
        <v>322</v>
      </c>
      <c r="AF55" s="83" t="s">
        <v>142</v>
      </c>
    </row>
    <row r="56" spans="1:32" x14ac:dyDescent="0.2">
      <c r="A56" s="1">
        <v>55</v>
      </c>
      <c r="B56" s="1"/>
      <c r="C56" s="1" t="s">
        <v>646</v>
      </c>
      <c r="D56" s="70" t="s">
        <v>647</v>
      </c>
      <c r="E56" s="70" t="s">
        <v>647</v>
      </c>
      <c r="F56" s="76" t="s">
        <v>648</v>
      </c>
      <c r="G56" s="70" t="s">
        <v>140</v>
      </c>
      <c r="H56" s="70" t="s">
        <v>443</v>
      </c>
      <c r="I56" s="74" t="s">
        <v>142</v>
      </c>
      <c r="J56" s="74">
        <v>45771</v>
      </c>
      <c r="K56" s="75"/>
      <c r="L56" s="75" t="s">
        <v>143</v>
      </c>
      <c r="N56" s="66" t="s">
        <v>144</v>
      </c>
      <c r="O56" s="66" t="s">
        <v>155</v>
      </c>
      <c r="P56" s="70" t="s">
        <v>290</v>
      </c>
      <c r="Q56" s="70" t="s">
        <v>257</v>
      </c>
      <c r="R56" s="70" t="s">
        <v>304</v>
      </c>
      <c r="S56" s="83" t="s">
        <v>146</v>
      </c>
      <c r="T56" s="83" t="s">
        <v>357</v>
      </c>
      <c r="U56" s="83" t="s">
        <v>181</v>
      </c>
      <c r="V56" s="86" t="s">
        <v>649</v>
      </c>
      <c r="W56" s="86" t="s">
        <v>650</v>
      </c>
      <c r="X56" s="86" t="s">
        <v>651</v>
      </c>
      <c r="Y56" s="86" t="s">
        <v>652</v>
      </c>
      <c r="Z56" t="s">
        <v>653</v>
      </c>
      <c r="AA56" s="83" t="s">
        <v>444</v>
      </c>
      <c r="AC56" s="83" t="s">
        <v>208</v>
      </c>
      <c r="AD56" s="83" t="s">
        <v>208</v>
      </c>
      <c r="AE56" s="83" t="s">
        <v>184</v>
      </c>
      <c r="AF56" s="83" t="s">
        <v>184</v>
      </c>
    </row>
    <row r="57" spans="1:32" ht="48" x14ac:dyDescent="0.2">
      <c r="A57" s="1">
        <v>56</v>
      </c>
      <c r="B57" s="1"/>
      <c r="C57" s="57" t="s">
        <v>654</v>
      </c>
      <c r="D57" s="70" t="s">
        <v>655</v>
      </c>
      <c r="E57" s="70" t="s">
        <v>655</v>
      </c>
      <c r="F57" s="76" t="s">
        <v>656</v>
      </c>
      <c r="G57" s="70" t="s">
        <v>140</v>
      </c>
      <c r="H57" s="70" t="s">
        <v>443</v>
      </c>
      <c r="I57" s="74" t="s">
        <v>142</v>
      </c>
      <c r="J57" s="74">
        <f ca="1">TODAY()</f>
        <v>46058</v>
      </c>
      <c r="K57" s="75">
        <v>43435</v>
      </c>
      <c r="L57" s="75" t="s">
        <v>143</v>
      </c>
      <c r="N57" s="66" t="s">
        <v>305</v>
      </c>
      <c r="O57" s="66" t="s">
        <v>145</v>
      </c>
      <c r="P57" s="70" t="s">
        <v>256</v>
      </c>
      <c r="Q57" s="70" t="s">
        <v>400</v>
      </c>
      <c r="R57" s="70" t="s">
        <v>145</v>
      </c>
      <c r="S57" s="83" t="s">
        <v>179</v>
      </c>
      <c r="T57" s="83" t="s">
        <v>189</v>
      </c>
      <c r="U57" s="83" t="s">
        <v>148</v>
      </c>
      <c r="V57" s="86" t="s">
        <v>258</v>
      </c>
      <c r="Y57" s="86" t="s">
        <v>657</v>
      </c>
      <c r="AA57" s="83" t="s">
        <v>520</v>
      </c>
      <c r="AB57" s="83" t="s">
        <v>658</v>
      </c>
      <c r="AC57" s="83" t="s">
        <v>258</v>
      </c>
      <c r="AD57" s="83" t="s">
        <v>659</v>
      </c>
      <c r="AE57" s="83" t="s">
        <v>151</v>
      </c>
      <c r="AF57" s="83" t="s">
        <v>151</v>
      </c>
    </row>
    <row r="58" spans="1:32" ht="32" x14ac:dyDescent="0.2">
      <c r="A58" s="1">
        <v>57</v>
      </c>
      <c r="B58" s="1"/>
      <c r="C58" s="58" t="s">
        <v>660</v>
      </c>
      <c r="D58" s="70" t="s">
        <v>661</v>
      </c>
      <c r="E58" s="70" t="s">
        <v>661</v>
      </c>
      <c r="F58" s="76" t="s">
        <v>662</v>
      </c>
      <c r="G58" s="70" t="s">
        <v>140</v>
      </c>
      <c r="H58" s="70" t="s">
        <v>443</v>
      </c>
      <c r="I58" s="74" t="s">
        <v>142</v>
      </c>
      <c r="J58" s="74">
        <f ca="1">TODAY()</f>
        <v>46058</v>
      </c>
      <c r="K58" s="75">
        <v>43435</v>
      </c>
      <c r="L58" s="75" t="s">
        <v>143</v>
      </c>
      <c r="N58" s="66" t="s">
        <v>305</v>
      </c>
      <c r="O58" s="66" t="s">
        <v>145</v>
      </c>
      <c r="P58" s="70" t="s">
        <v>256</v>
      </c>
      <c r="Q58" s="70" t="s">
        <v>400</v>
      </c>
      <c r="R58" s="70" t="s">
        <v>145</v>
      </c>
      <c r="S58" s="83" t="s">
        <v>179</v>
      </c>
      <c r="T58" s="83" t="s">
        <v>357</v>
      </c>
      <c r="U58" s="83" t="s">
        <v>369</v>
      </c>
      <c r="V58" s="86" t="s">
        <v>663</v>
      </c>
      <c r="W58" s="86" t="s">
        <v>664</v>
      </c>
      <c r="Y58" s="86" t="s">
        <v>398</v>
      </c>
      <c r="AA58" s="83" t="s">
        <v>520</v>
      </c>
      <c r="AB58" s="83" t="s">
        <v>658</v>
      </c>
      <c r="AE58" s="83" t="s">
        <v>151</v>
      </c>
      <c r="AF58" s="83" t="s">
        <v>151</v>
      </c>
    </row>
    <row r="59" spans="1:32" x14ac:dyDescent="0.2">
      <c r="A59" s="1">
        <v>58</v>
      </c>
      <c r="B59" s="1"/>
      <c r="C59" s="59" t="s">
        <v>665</v>
      </c>
      <c r="D59" s="70" t="s">
        <v>666</v>
      </c>
      <c r="E59" s="70" t="s">
        <v>666</v>
      </c>
      <c r="F59" s="76" t="s">
        <v>667</v>
      </c>
      <c r="G59" s="70" t="s">
        <v>140</v>
      </c>
      <c r="H59" s="70" t="s">
        <v>443</v>
      </c>
      <c r="I59" s="74" t="s">
        <v>142</v>
      </c>
      <c r="J59" s="74">
        <v>45771</v>
      </c>
      <c r="K59" s="75"/>
      <c r="L59" s="75" t="s">
        <v>143</v>
      </c>
      <c r="N59" s="66" t="s">
        <v>305</v>
      </c>
      <c r="O59" s="66" t="s">
        <v>145</v>
      </c>
      <c r="P59" s="70" t="s">
        <v>256</v>
      </c>
      <c r="Q59" s="70" t="s">
        <v>400</v>
      </c>
      <c r="R59" s="70" t="s">
        <v>145</v>
      </c>
      <c r="S59" s="83" t="s">
        <v>179</v>
      </c>
      <c r="T59" s="83" t="s">
        <v>147</v>
      </c>
      <c r="U59" s="83" t="s">
        <v>181</v>
      </c>
      <c r="V59" s="86" t="s">
        <v>206</v>
      </c>
      <c r="Y59" s="86" t="s">
        <v>668</v>
      </c>
      <c r="AA59" s="83" t="s">
        <v>520</v>
      </c>
      <c r="AB59" s="83" t="s">
        <v>658</v>
      </c>
      <c r="AE59" s="83" t="s">
        <v>171</v>
      </c>
      <c r="AF59" s="83" t="s">
        <v>171</v>
      </c>
    </row>
    <row r="60" spans="1:32" x14ac:dyDescent="0.2">
      <c r="A60" s="1">
        <v>59</v>
      </c>
      <c r="B60" s="1"/>
      <c r="C60" s="1" t="s">
        <v>669</v>
      </c>
      <c r="D60" s="70" t="s">
        <v>670</v>
      </c>
      <c r="E60" s="70" t="s">
        <v>670</v>
      </c>
      <c r="F60" s="76" t="s">
        <v>671</v>
      </c>
      <c r="G60" s="70" t="s">
        <v>140</v>
      </c>
      <c r="H60" s="70" t="s">
        <v>443</v>
      </c>
      <c r="I60" s="74" t="s">
        <v>142</v>
      </c>
      <c r="J60" s="74">
        <v>45771</v>
      </c>
      <c r="K60" s="75"/>
      <c r="L60" s="75" t="s">
        <v>143</v>
      </c>
      <c r="N60" s="66" t="s">
        <v>672</v>
      </c>
      <c r="O60" s="66" t="s">
        <v>145</v>
      </c>
      <c r="P60" s="70" t="s">
        <v>290</v>
      </c>
      <c r="Q60" s="70" t="s">
        <v>267</v>
      </c>
      <c r="R60" s="70" t="s">
        <v>145</v>
      </c>
      <c r="S60" s="83" t="s">
        <v>179</v>
      </c>
      <c r="T60" s="83" t="s">
        <v>189</v>
      </c>
      <c r="U60" s="83" t="s">
        <v>148</v>
      </c>
      <c r="V60" s="86" t="s">
        <v>258</v>
      </c>
      <c r="Y60" s="86" t="s">
        <v>673</v>
      </c>
      <c r="AA60" s="83" t="s">
        <v>444</v>
      </c>
      <c r="AC60" s="83" t="s">
        <v>208</v>
      </c>
      <c r="AD60" s="83" t="s">
        <v>208</v>
      </c>
      <c r="AE60" s="83" t="s">
        <v>151</v>
      </c>
      <c r="AF60" s="83" t="s">
        <v>151</v>
      </c>
    </row>
    <row r="61" spans="1:32" ht="16" x14ac:dyDescent="0.2">
      <c r="A61" s="1">
        <v>60</v>
      </c>
      <c r="B61" s="1"/>
      <c r="C61" s="57" t="s">
        <v>674</v>
      </c>
      <c r="D61" s="70" t="s">
        <v>675</v>
      </c>
      <c r="E61" s="70" t="s">
        <v>675</v>
      </c>
      <c r="F61" s="76" t="s">
        <v>676</v>
      </c>
      <c r="G61" s="70" t="s">
        <v>455</v>
      </c>
      <c r="H61" s="70" t="s">
        <v>224</v>
      </c>
      <c r="I61" s="74" t="str">
        <f>IF(Resources_full_data[[#This Row],[LinkIsAccesible ]] ="Page not found", "Page not found."," ")</f>
        <v>Page not found.</v>
      </c>
      <c r="J61" s="74">
        <f ca="1">TODAY()</f>
        <v>46058</v>
      </c>
      <c r="K61" s="75"/>
      <c r="L61" s="75" t="s">
        <v>143</v>
      </c>
    </row>
    <row r="62" spans="1:32" ht="32" x14ac:dyDescent="0.2">
      <c r="A62" s="1">
        <v>61</v>
      </c>
      <c r="B62" s="1"/>
      <c r="C62" s="58" t="s">
        <v>677</v>
      </c>
      <c r="D62" s="70" t="s">
        <v>678</v>
      </c>
      <c r="E62" s="70" t="s">
        <v>678</v>
      </c>
      <c r="F62" s="76" t="s">
        <v>679</v>
      </c>
      <c r="G62" s="70" t="s">
        <v>140</v>
      </c>
      <c r="H62" s="70" t="s">
        <v>224</v>
      </c>
      <c r="I62" s="74" t="s">
        <v>680</v>
      </c>
      <c r="J62" s="74">
        <v>45771</v>
      </c>
      <c r="K62" s="75"/>
      <c r="L62" s="75" t="s">
        <v>143</v>
      </c>
      <c r="N62" s="66" t="s">
        <v>305</v>
      </c>
      <c r="O62" s="66" t="s">
        <v>145</v>
      </c>
      <c r="S62" s="83" t="s">
        <v>157</v>
      </c>
      <c r="T62" s="83" t="s">
        <v>189</v>
      </c>
      <c r="U62" s="83" t="s">
        <v>169</v>
      </c>
      <c r="V62" s="86" t="s">
        <v>550</v>
      </c>
      <c r="AE62" s="83" t="s">
        <v>151</v>
      </c>
      <c r="AF62" s="83" t="s">
        <v>151</v>
      </c>
    </row>
    <row r="63" spans="1:32" ht="16" x14ac:dyDescent="0.2">
      <c r="A63" s="1">
        <v>62</v>
      </c>
      <c r="B63" s="1" t="s">
        <v>429</v>
      </c>
      <c r="C63" s="57" t="s">
        <v>191</v>
      </c>
      <c r="D63" s="70" t="s">
        <v>192</v>
      </c>
      <c r="E63" s="70" t="s">
        <v>192</v>
      </c>
      <c r="F63" s="76" t="s">
        <v>193</v>
      </c>
      <c r="G63" s="70" t="s">
        <v>140</v>
      </c>
      <c r="H63" s="70" t="s">
        <v>443</v>
      </c>
      <c r="I63" s="74" t="s">
        <v>142</v>
      </c>
      <c r="J63" s="74">
        <v>45771</v>
      </c>
      <c r="K63" s="75"/>
      <c r="L63" s="75" t="s">
        <v>143</v>
      </c>
      <c r="N63" s="66" t="s">
        <v>305</v>
      </c>
      <c r="O63" s="66" t="s">
        <v>145</v>
      </c>
      <c r="P63" s="70" t="s">
        <v>256</v>
      </c>
      <c r="Q63" s="70" t="s">
        <v>400</v>
      </c>
      <c r="R63" s="70" t="s">
        <v>145</v>
      </c>
      <c r="S63" s="83" t="s">
        <v>599</v>
      </c>
      <c r="T63" s="83" t="s">
        <v>147</v>
      </c>
      <c r="U63" s="83" t="s">
        <v>369</v>
      </c>
      <c r="V63" s="86" t="s">
        <v>681</v>
      </c>
      <c r="W63" s="86" t="s">
        <v>682</v>
      </c>
      <c r="X63" s="86" t="s">
        <v>683</v>
      </c>
      <c r="Y63" s="86" t="s">
        <v>199</v>
      </c>
      <c r="AA63" s="83" t="s">
        <v>520</v>
      </c>
      <c r="AB63" s="83" t="s">
        <v>684</v>
      </c>
      <c r="AC63" s="83" t="s">
        <v>200</v>
      </c>
      <c r="AD63" s="83" t="s">
        <v>685</v>
      </c>
      <c r="AE63" s="83" t="s">
        <v>151</v>
      </c>
      <c r="AF63" s="83" t="s">
        <v>151</v>
      </c>
    </row>
    <row r="64" spans="1:32" ht="16" x14ac:dyDescent="0.2">
      <c r="A64" s="1">
        <v>63</v>
      </c>
      <c r="B64" s="1"/>
      <c r="C64" s="58" t="s">
        <v>686</v>
      </c>
      <c r="D64" s="70" t="s">
        <v>597</v>
      </c>
      <c r="E64" s="70" t="s">
        <v>597</v>
      </c>
      <c r="F64" s="76" t="s">
        <v>687</v>
      </c>
      <c r="G64" s="70" t="s">
        <v>140</v>
      </c>
      <c r="H64" s="70" t="s">
        <v>443</v>
      </c>
      <c r="I64" s="74" t="s">
        <v>142</v>
      </c>
      <c r="J64" s="74">
        <v>45771</v>
      </c>
      <c r="K64" s="75"/>
      <c r="L64" s="75" t="s">
        <v>143</v>
      </c>
      <c r="N64" s="66" t="s">
        <v>324</v>
      </c>
      <c r="O64" s="66" t="s">
        <v>145</v>
      </c>
      <c r="P64" s="70" t="s">
        <v>256</v>
      </c>
      <c r="Q64" s="70" t="s">
        <v>400</v>
      </c>
      <c r="R64" s="70" t="s">
        <v>145</v>
      </c>
      <c r="S64" s="83" t="s">
        <v>195</v>
      </c>
      <c r="T64" s="83" t="s">
        <v>147</v>
      </c>
      <c r="U64" s="83" t="s">
        <v>369</v>
      </c>
      <c r="V64" s="86" t="s">
        <v>258</v>
      </c>
      <c r="W64" s="86" t="s">
        <v>688</v>
      </c>
      <c r="X64" s="86" t="s">
        <v>683</v>
      </c>
      <c r="AA64" s="83" t="s">
        <v>520</v>
      </c>
      <c r="AB64" s="83" t="s">
        <v>658</v>
      </c>
      <c r="AE64" s="83" t="s">
        <v>151</v>
      </c>
      <c r="AF64" s="83" t="s">
        <v>151</v>
      </c>
    </row>
    <row r="65" spans="1:32" ht="48" x14ac:dyDescent="0.2">
      <c r="A65" s="1">
        <v>64</v>
      </c>
      <c r="B65" s="1"/>
      <c r="C65" s="57" t="s">
        <v>689</v>
      </c>
      <c r="D65" s="70" t="s">
        <v>597</v>
      </c>
      <c r="E65" s="70" t="s">
        <v>597</v>
      </c>
      <c r="F65" s="76" t="s">
        <v>690</v>
      </c>
      <c r="G65" s="70" t="s">
        <v>140</v>
      </c>
      <c r="H65" s="70" t="s">
        <v>443</v>
      </c>
      <c r="I65" s="74" t="s">
        <v>142</v>
      </c>
      <c r="J65" s="74">
        <v>45771</v>
      </c>
      <c r="K65" s="75"/>
      <c r="L65" s="75" t="s">
        <v>143</v>
      </c>
      <c r="N65" s="66" t="s">
        <v>144</v>
      </c>
      <c r="O65" s="66" t="s">
        <v>145</v>
      </c>
      <c r="P65" s="70" t="s">
        <v>216</v>
      </c>
      <c r="Q65" s="70" t="s">
        <v>280</v>
      </c>
      <c r="R65" s="70" t="s">
        <v>145</v>
      </c>
      <c r="S65" s="83" t="s">
        <v>179</v>
      </c>
      <c r="T65" s="83" t="s">
        <v>147</v>
      </c>
      <c r="U65" s="83" t="s">
        <v>369</v>
      </c>
      <c r="V65" s="86" t="s">
        <v>258</v>
      </c>
      <c r="Y65" s="86" t="s">
        <v>262</v>
      </c>
      <c r="AA65" s="83" t="s">
        <v>444</v>
      </c>
      <c r="AC65" s="83" t="s">
        <v>208</v>
      </c>
      <c r="AD65" s="83" t="s">
        <v>208</v>
      </c>
      <c r="AE65" s="83" t="s">
        <v>312</v>
      </c>
      <c r="AF65" s="83" t="s">
        <v>151</v>
      </c>
    </row>
    <row r="66" spans="1:32" ht="16" x14ac:dyDescent="0.2">
      <c r="A66" s="1">
        <v>65</v>
      </c>
      <c r="B66" s="1"/>
      <c r="C66" s="58" t="s">
        <v>691</v>
      </c>
      <c r="D66" s="70" t="s">
        <v>692</v>
      </c>
      <c r="E66" s="70" t="s">
        <v>693</v>
      </c>
      <c r="F66" s="76" t="s">
        <v>694</v>
      </c>
      <c r="G66" s="70" t="s">
        <v>140</v>
      </c>
      <c r="H66" s="70" t="s">
        <v>443</v>
      </c>
      <c r="I66" s="74" t="s">
        <v>142</v>
      </c>
      <c r="J66" s="74">
        <v>45771</v>
      </c>
      <c r="K66" s="75"/>
      <c r="L66" s="75" t="s">
        <v>143</v>
      </c>
      <c r="N66" s="66" t="s">
        <v>305</v>
      </c>
      <c r="O66" s="66" t="s">
        <v>145</v>
      </c>
      <c r="P66" s="70" t="s">
        <v>256</v>
      </c>
      <c r="Q66" s="70" t="s">
        <v>400</v>
      </c>
      <c r="R66" s="70" t="s">
        <v>145</v>
      </c>
      <c r="S66" s="83" t="s">
        <v>179</v>
      </c>
      <c r="T66" s="83" t="s">
        <v>147</v>
      </c>
      <c r="U66" s="83" t="s">
        <v>148</v>
      </c>
      <c r="W66" s="86" t="s">
        <v>561</v>
      </c>
      <c r="Y66" s="86" t="s">
        <v>695</v>
      </c>
      <c r="AA66" s="83" t="s">
        <v>520</v>
      </c>
      <c r="AB66" s="87" t="s">
        <v>694</v>
      </c>
      <c r="AC66" s="83" t="s">
        <v>696</v>
      </c>
      <c r="AD66" s="83" t="s">
        <v>697</v>
      </c>
      <c r="AE66" s="83" t="s">
        <v>151</v>
      </c>
      <c r="AF66" s="83" t="s">
        <v>151</v>
      </c>
    </row>
    <row r="67" spans="1:32" ht="16" x14ac:dyDescent="0.2">
      <c r="A67" s="1">
        <v>66</v>
      </c>
      <c r="B67" s="1"/>
      <c r="C67" s="57" t="s">
        <v>698</v>
      </c>
      <c r="E67" s="70" t="s">
        <v>699</v>
      </c>
      <c r="F67" s="76" t="s">
        <v>700</v>
      </c>
      <c r="G67" s="70" t="s">
        <v>140</v>
      </c>
      <c r="H67" s="70" t="s">
        <v>224</v>
      </c>
      <c r="I67" s="74" t="s">
        <v>565</v>
      </c>
      <c r="J67" s="74">
        <v>45771</v>
      </c>
      <c r="K67" s="75">
        <v>43626</v>
      </c>
      <c r="L67" s="75" t="s">
        <v>143</v>
      </c>
      <c r="N67" s="66" t="s">
        <v>167</v>
      </c>
      <c r="O67" s="66" t="s">
        <v>289</v>
      </c>
    </row>
    <row r="68" spans="1:32" x14ac:dyDescent="0.2">
      <c r="A68" s="1">
        <v>67</v>
      </c>
      <c r="B68" s="1"/>
      <c r="C68" s="1" t="s">
        <v>701</v>
      </c>
      <c r="D68" s="70" t="s">
        <v>702</v>
      </c>
      <c r="E68" s="70" t="s">
        <v>702</v>
      </c>
      <c r="F68" s="76" t="s">
        <v>703</v>
      </c>
      <c r="G68" s="70" t="s">
        <v>140</v>
      </c>
      <c r="H68" s="70" t="s">
        <v>443</v>
      </c>
      <c r="I68" s="74" t="s">
        <v>142</v>
      </c>
      <c r="J68" s="74">
        <v>45771</v>
      </c>
      <c r="K68" s="75"/>
      <c r="L68" s="75" t="s">
        <v>143</v>
      </c>
      <c r="N68" s="66" t="s">
        <v>167</v>
      </c>
      <c r="O68" s="66" t="s">
        <v>145</v>
      </c>
      <c r="P68" s="70" t="s">
        <v>290</v>
      </c>
      <c r="Q68" s="70" t="s">
        <v>267</v>
      </c>
      <c r="R68" s="70" t="s">
        <v>145</v>
      </c>
      <c r="S68" s="83" t="s">
        <v>179</v>
      </c>
      <c r="T68" s="83" t="s">
        <v>357</v>
      </c>
      <c r="V68" s="86" t="s">
        <v>258</v>
      </c>
      <c r="Y68" s="86" t="s">
        <v>113</v>
      </c>
      <c r="AA68" s="83" t="s">
        <v>444</v>
      </c>
      <c r="AC68" s="83" t="s">
        <v>208</v>
      </c>
      <c r="AD68" s="83" t="s">
        <v>208</v>
      </c>
      <c r="AE68" s="83" t="s">
        <v>322</v>
      </c>
      <c r="AF68" s="83" t="s">
        <v>151</v>
      </c>
    </row>
    <row r="69" spans="1:32" ht="48" x14ac:dyDescent="0.2">
      <c r="A69" s="1">
        <v>68</v>
      </c>
      <c r="B69" s="1" t="s">
        <v>429</v>
      </c>
      <c r="C69" s="60" t="s">
        <v>704</v>
      </c>
      <c r="E69" s="70" t="s">
        <v>227</v>
      </c>
      <c r="F69" s="76" t="s">
        <v>228</v>
      </c>
      <c r="G69" s="70" t="s">
        <v>140</v>
      </c>
      <c r="H69" s="70" t="s">
        <v>224</v>
      </c>
      <c r="I69" s="74" t="s">
        <v>565</v>
      </c>
      <c r="J69" s="74">
        <v>45771</v>
      </c>
      <c r="K69" s="75"/>
      <c r="L69" s="75" t="s">
        <v>143</v>
      </c>
      <c r="N69" s="66" t="s">
        <v>167</v>
      </c>
      <c r="O69" s="66" t="s">
        <v>145</v>
      </c>
    </row>
    <row r="70" spans="1:32" ht="32" x14ac:dyDescent="0.2">
      <c r="A70" s="1">
        <v>69</v>
      </c>
      <c r="B70" s="1"/>
      <c r="C70" s="58" t="s">
        <v>705</v>
      </c>
      <c r="D70" s="70" t="s">
        <v>706</v>
      </c>
      <c r="E70" s="70" t="s">
        <v>706</v>
      </c>
      <c r="F70" s="76" t="s">
        <v>707</v>
      </c>
      <c r="G70" s="70" t="s">
        <v>455</v>
      </c>
      <c r="H70" s="70" t="s">
        <v>224</v>
      </c>
      <c r="I70" s="74" t="str">
        <f>IF(Resources_full_data[[#This Row],[LinkIsAccesible ]] ="Page not found", "Page not found."," ")</f>
        <v>Page not found.</v>
      </c>
      <c r="J70" s="74">
        <f ca="1">TODAY()</f>
        <v>46058</v>
      </c>
      <c r="K70" s="75"/>
      <c r="L70" s="75" t="s">
        <v>143</v>
      </c>
    </row>
    <row r="71" spans="1:32" x14ac:dyDescent="0.2">
      <c r="A71" s="1">
        <v>70</v>
      </c>
      <c r="B71" s="1"/>
      <c r="C71" s="1" t="s">
        <v>708</v>
      </c>
      <c r="D71" s="70" t="s">
        <v>709</v>
      </c>
      <c r="E71" s="70" t="s">
        <v>709</v>
      </c>
      <c r="F71" s="76" t="s">
        <v>710</v>
      </c>
      <c r="G71" s="74" t="s">
        <v>140</v>
      </c>
      <c r="H71" s="70" t="s">
        <v>443</v>
      </c>
      <c r="I71" s="74" t="s">
        <v>142</v>
      </c>
      <c r="J71" s="74">
        <v>45771</v>
      </c>
      <c r="K71" s="75"/>
      <c r="L71" s="75" t="s">
        <v>143</v>
      </c>
      <c r="N71" s="66" t="s">
        <v>167</v>
      </c>
      <c r="O71" s="66" t="s">
        <v>145</v>
      </c>
      <c r="P71" s="70" t="s">
        <v>290</v>
      </c>
      <c r="Q71" s="70" t="s">
        <v>400</v>
      </c>
      <c r="R71" s="70" t="s">
        <v>145</v>
      </c>
      <c r="S71" s="83" t="s">
        <v>179</v>
      </c>
      <c r="T71" s="83" t="s">
        <v>189</v>
      </c>
      <c r="V71" s="86" t="s">
        <v>258</v>
      </c>
      <c r="Y71" s="86" t="s">
        <v>362</v>
      </c>
      <c r="AA71" s="83" t="s">
        <v>444</v>
      </c>
      <c r="AC71" s="83" t="s">
        <v>208</v>
      </c>
      <c r="AD71" s="83" t="s">
        <v>208</v>
      </c>
      <c r="AE71" s="83" t="s">
        <v>322</v>
      </c>
      <c r="AF71" s="83" t="s">
        <v>184</v>
      </c>
    </row>
    <row r="72" spans="1:32" x14ac:dyDescent="0.2">
      <c r="A72" s="1">
        <v>71</v>
      </c>
      <c r="B72" s="1"/>
      <c r="C72" s="1" t="s">
        <v>711</v>
      </c>
      <c r="D72" s="70" t="s">
        <v>597</v>
      </c>
      <c r="E72" s="70" t="s">
        <v>597</v>
      </c>
      <c r="F72" s="76" t="s">
        <v>712</v>
      </c>
      <c r="G72" s="74" t="s">
        <v>140</v>
      </c>
      <c r="H72" s="70" t="s">
        <v>443</v>
      </c>
      <c r="I72" s="74" t="s">
        <v>142</v>
      </c>
      <c r="J72" s="74">
        <v>45771</v>
      </c>
      <c r="K72" s="75"/>
      <c r="L72" s="75" t="s">
        <v>143</v>
      </c>
      <c r="N72" s="66" t="s">
        <v>167</v>
      </c>
      <c r="O72" s="66" t="s">
        <v>145</v>
      </c>
      <c r="P72" s="70" t="s">
        <v>290</v>
      </c>
      <c r="R72" s="70" t="s">
        <v>145</v>
      </c>
      <c r="S72" s="83" t="s">
        <v>179</v>
      </c>
      <c r="T72" s="83" t="s">
        <v>189</v>
      </c>
      <c r="V72" s="86" t="s">
        <v>258</v>
      </c>
      <c r="Y72" s="86" t="s">
        <v>362</v>
      </c>
      <c r="AA72" s="83" t="s">
        <v>444</v>
      </c>
      <c r="AC72" s="83" t="s">
        <v>208</v>
      </c>
      <c r="AD72" s="83" t="s">
        <v>208</v>
      </c>
      <c r="AE72" s="83" t="s">
        <v>322</v>
      </c>
      <c r="AF72" s="83" t="s">
        <v>184</v>
      </c>
    </row>
    <row r="73" spans="1:32" ht="48" x14ac:dyDescent="0.2">
      <c r="A73" s="1">
        <v>72</v>
      </c>
      <c r="B73" s="1"/>
      <c r="C73" s="57" t="s">
        <v>713</v>
      </c>
      <c r="D73" s="70" t="s">
        <v>714</v>
      </c>
      <c r="E73" s="70" t="s">
        <v>714</v>
      </c>
      <c r="F73" s="76" t="s">
        <v>715</v>
      </c>
      <c r="G73" s="74" t="s">
        <v>140</v>
      </c>
      <c r="H73" s="70" t="s">
        <v>443</v>
      </c>
      <c r="I73" s="74" t="s">
        <v>142</v>
      </c>
      <c r="J73" s="74">
        <v>45775</v>
      </c>
      <c r="K73" s="75">
        <v>44383</v>
      </c>
      <c r="L73" s="75" t="s">
        <v>143</v>
      </c>
      <c r="N73" s="66" t="s">
        <v>672</v>
      </c>
      <c r="O73" s="66" t="s">
        <v>168</v>
      </c>
      <c r="P73" s="70" t="s">
        <v>256</v>
      </c>
      <c r="Q73" s="70" t="s">
        <v>396</v>
      </c>
      <c r="R73" s="70" t="s">
        <v>304</v>
      </c>
      <c r="S73" s="83" t="s">
        <v>179</v>
      </c>
      <c r="T73" s="83" t="s">
        <v>189</v>
      </c>
      <c r="U73" s="83" t="s">
        <v>148</v>
      </c>
      <c r="V73" s="86" t="s">
        <v>218</v>
      </c>
      <c r="W73" s="86" t="s">
        <v>716</v>
      </c>
      <c r="X73" s="86" t="s">
        <v>683</v>
      </c>
      <c r="Y73" s="86" t="s">
        <v>398</v>
      </c>
      <c r="AA73" s="83" t="s">
        <v>444</v>
      </c>
      <c r="AC73" s="83" t="s">
        <v>208</v>
      </c>
      <c r="AD73" s="83" t="s">
        <v>208</v>
      </c>
      <c r="AE73" s="83" t="s">
        <v>322</v>
      </c>
      <c r="AF73" s="83" t="s">
        <v>142</v>
      </c>
    </row>
    <row r="74" spans="1:32" ht="16" x14ac:dyDescent="0.2">
      <c r="A74" s="1">
        <v>73</v>
      </c>
      <c r="B74" s="1"/>
      <c r="C74" s="58" t="s">
        <v>717</v>
      </c>
      <c r="D74" s="70" t="s">
        <v>718</v>
      </c>
      <c r="E74" s="70" t="s">
        <v>718</v>
      </c>
      <c r="F74" s="76" t="s">
        <v>719</v>
      </c>
      <c r="G74" s="74" t="s">
        <v>140</v>
      </c>
      <c r="H74" s="70" t="s">
        <v>443</v>
      </c>
      <c r="I74" s="74" t="s">
        <v>142</v>
      </c>
      <c r="J74" s="74">
        <v>45775</v>
      </c>
      <c r="K74" s="75"/>
      <c r="L74" s="75" t="s">
        <v>143</v>
      </c>
      <c r="N74" s="66" t="s">
        <v>167</v>
      </c>
      <c r="O74" s="66" t="s">
        <v>155</v>
      </c>
      <c r="P74" s="70" t="s">
        <v>325</v>
      </c>
      <c r="Q74" s="70" t="s">
        <v>257</v>
      </c>
      <c r="R74" s="70" t="s">
        <v>145</v>
      </c>
      <c r="S74" s="83" t="s">
        <v>156</v>
      </c>
      <c r="T74" s="83" t="s">
        <v>337</v>
      </c>
      <c r="U74" s="83" t="s">
        <v>283</v>
      </c>
      <c r="V74" s="86" t="s">
        <v>258</v>
      </c>
      <c r="Y74" s="86" t="s">
        <v>720</v>
      </c>
      <c r="AA74" s="83" t="s">
        <v>444</v>
      </c>
      <c r="AC74" s="83" t="s">
        <v>208</v>
      </c>
      <c r="AD74" s="83" t="s">
        <v>208</v>
      </c>
      <c r="AE74" s="83" t="s">
        <v>322</v>
      </c>
      <c r="AF74" s="83" t="s">
        <v>151</v>
      </c>
    </row>
    <row r="75" spans="1:32" ht="30.75" customHeight="1" x14ac:dyDescent="0.2">
      <c r="A75" s="1">
        <v>74</v>
      </c>
      <c r="B75" s="1"/>
      <c r="C75" s="57" t="s">
        <v>721</v>
      </c>
      <c r="D75" s="70" t="s">
        <v>722</v>
      </c>
      <c r="E75" s="70" t="s">
        <v>722</v>
      </c>
      <c r="F75" s="76" t="s">
        <v>723</v>
      </c>
      <c r="G75" s="74" t="s">
        <v>140</v>
      </c>
      <c r="H75" s="70" t="s">
        <v>224</v>
      </c>
      <c r="I75" s="74" t="s">
        <v>724</v>
      </c>
      <c r="J75" s="74">
        <f ca="1">TODAY()</f>
        <v>46058</v>
      </c>
      <c r="K75" s="75"/>
      <c r="L75" s="75" t="s">
        <v>143</v>
      </c>
    </row>
    <row r="76" spans="1:32" ht="32" x14ac:dyDescent="0.2">
      <c r="A76" s="1">
        <v>75</v>
      </c>
      <c r="B76" s="1"/>
      <c r="C76" s="58" t="s">
        <v>725</v>
      </c>
      <c r="D76" s="70" t="s">
        <v>726</v>
      </c>
      <c r="E76" s="70" t="s">
        <v>726</v>
      </c>
      <c r="F76" s="76" t="s">
        <v>727</v>
      </c>
      <c r="G76" s="70" t="s">
        <v>455</v>
      </c>
      <c r="H76" s="70" t="s">
        <v>224</v>
      </c>
      <c r="I76" s="74" t="str">
        <f>IF(Resources_full_data[[#This Row],[LinkIsAccesible ]] ="Page not found", "Page not found."," ")</f>
        <v>Page not found.</v>
      </c>
      <c r="J76" s="74">
        <f ca="1">TODAY()</f>
        <v>46058</v>
      </c>
      <c r="K76" s="75"/>
      <c r="L76" s="75" t="s">
        <v>143</v>
      </c>
    </row>
    <row r="77" spans="1:32" ht="32" x14ac:dyDescent="0.2">
      <c r="A77" s="1">
        <v>76</v>
      </c>
      <c r="B77" s="1" t="s">
        <v>429</v>
      </c>
      <c r="C77" s="57" t="s">
        <v>728</v>
      </c>
      <c r="D77" s="70" t="s">
        <v>203</v>
      </c>
      <c r="E77" s="70" t="s">
        <v>203</v>
      </c>
      <c r="F77" s="76" t="s">
        <v>204</v>
      </c>
      <c r="G77" s="74" t="s">
        <v>140</v>
      </c>
      <c r="H77" s="70" t="s">
        <v>443</v>
      </c>
      <c r="I77" s="74" t="s">
        <v>142</v>
      </c>
      <c r="J77" s="74">
        <f ca="1">TODAY()</f>
        <v>46058</v>
      </c>
      <c r="K77" s="75">
        <v>44409</v>
      </c>
      <c r="L77" s="75" t="s">
        <v>143</v>
      </c>
      <c r="N77" s="66" t="s">
        <v>305</v>
      </c>
      <c r="O77" s="66" t="s">
        <v>145</v>
      </c>
      <c r="P77" s="70" t="s">
        <v>256</v>
      </c>
      <c r="Q77" s="70" t="s">
        <v>400</v>
      </c>
      <c r="R77" s="70" t="s">
        <v>145</v>
      </c>
      <c r="S77" s="83" t="s">
        <v>179</v>
      </c>
      <c r="T77" s="83" t="s">
        <v>189</v>
      </c>
      <c r="U77" s="83" t="s">
        <v>369</v>
      </c>
      <c r="V77" s="86" t="s">
        <v>206</v>
      </c>
      <c r="W77" s="86" t="s">
        <v>207</v>
      </c>
      <c r="AA77" s="83" t="s">
        <v>520</v>
      </c>
      <c r="AB77" s="83" t="s">
        <v>658</v>
      </c>
      <c r="AE77" s="83" t="s">
        <v>184</v>
      </c>
      <c r="AF77" s="83" t="s">
        <v>184</v>
      </c>
    </row>
    <row r="78" spans="1:32" ht="16" x14ac:dyDescent="0.2">
      <c r="A78" s="1">
        <v>77</v>
      </c>
      <c r="B78" s="1"/>
      <c r="C78" s="58" t="s">
        <v>729</v>
      </c>
      <c r="D78" s="70" t="s">
        <v>730</v>
      </c>
      <c r="E78" s="70" t="s">
        <v>730</v>
      </c>
      <c r="F78" s="76" t="s">
        <v>731</v>
      </c>
      <c r="G78" s="74" t="s">
        <v>140</v>
      </c>
      <c r="H78" s="70" t="s">
        <v>224</v>
      </c>
      <c r="I78" s="74" t="s">
        <v>732</v>
      </c>
      <c r="J78" s="74">
        <v>45775</v>
      </c>
      <c r="K78" s="75"/>
      <c r="L78" s="75" t="s">
        <v>143</v>
      </c>
      <c r="W78" s="86" t="s">
        <v>733</v>
      </c>
    </row>
    <row r="79" spans="1:32" ht="32" x14ac:dyDescent="0.2">
      <c r="A79" s="1">
        <v>78</v>
      </c>
      <c r="B79" s="1"/>
      <c r="C79" s="57" t="s">
        <v>734</v>
      </c>
      <c r="D79" s="70" t="s">
        <v>702</v>
      </c>
      <c r="E79" s="70" t="s">
        <v>702</v>
      </c>
      <c r="F79" s="76" t="s">
        <v>735</v>
      </c>
      <c r="G79" s="74" t="s">
        <v>140</v>
      </c>
      <c r="H79" s="70" t="s">
        <v>224</v>
      </c>
      <c r="I79" s="74" t="s">
        <v>732</v>
      </c>
      <c r="J79" s="74">
        <v>45775</v>
      </c>
      <c r="K79" s="75"/>
      <c r="L79" s="75" t="s">
        <v>143</v>
      </c>
    </row>
    <row r="80" spans="1:32" ht="16" x14ac:dyDescent="0.2">
      <c r="A80" s="1">
        <v>79</v>
      </c>
      <c r="B80" s="1"/>
      <c r="C80" s="58" t="s">
        <v>736</v>
      </c>
      <c r="D80" s="70" t="s">
        <v>737</v>
      </c>
      <c r="E80" s="70" t="s">
        <v>737</v>
      </c>
      <c r="F80" s="76" t="s">
        <v>738</v>
      </c>
      <c r="G80" s="74" t="s">
        <v>140</v>
      </c>
      <c r="H80" s="70" t="s">
        <v>443</v>
      </c>
      <c r="I80" s="74" t="s">
        <v>142</v>
      </c>
      <c r="J80" s="74">
        <v>45775</v>
      </c>
      <c r="K80" s="75"/>
      <c r="L80" s="75" t="s">
        <v>143</v>
      </c>
      <c r="N80" s="66" t="s">
        <v>144</v>
      </c>
      <c r="O80" s="66" t="s">
        <v>155</v>
      </c>
      <c r="P80" s="70" t="s">
        <v>325</v>
      </c>
      <c r="Q80" s="70" t="s">
        <v>257</v>
      </c>
      <c r="R80" s="70" t="s">
        <v>145</v>
      </c>
      <c r="S80" s="83" t="s">
        <v>179</v>
      </c>
      <c r="T80" s="83" t="s">
        <v>337</v>
      </c>
      <c r="U80" s="83" t="s">
        <v>283</v>
      </c>
      <c r="V80" s="86" t="s">
        <v>258</v>
      </c>
      <c r="W80" s="86" t="s">
        <v>739</v>
      </c>
      <c r="Y80" s="86" t="s">
        <v>740</v>
      </c>
      <c r="AA80" s="83" t="s">
        <v>444</v>
      </c>
      <c r="AC80" s="83" t="s">
        <v>208</v>
      </c>
      <c r="AD80" s="83" t="s">
        <v>208</v>
      </c>
      <c r="AE80" s="83" t="s">
        <v>151</v>
      </c>
      <c r="AF80" s="83" t="s">
        <v>151</v>
      </c>
    </row>
    <row r="81" spans="1:32" ht="16" x14ac:dyDescent="0.2">
      <c r="A81" s="1">
        <v>80</v>
      </c>
      <c r="B81" s="1"/>
      <c r="C81" s="57" t="s">
        <v>741</v>
      </c>
      <c r="D81" s="70" t="s">
        <v>737</v>
      </c>
      <c r="E81" s="70" t="s">
        <v>737</v>
      </c>
      <c r="F81" s="76" t="s">
        <v>742</v>
      </c>
      <c r="G81" s="74" t="s">
        <v>140</v>
      </c>
      <c r="H81" s="70" t="s">
        <v>443</v>
      </c>
      <c r="I81" s="74" t="s">
        <v>142</v>
      </c>
      <c r="J81" s="74">
        <v>45775</v>
      </c>
      <c r="K81" s="75"/>
      <c r="L81" s="75" t="s">
        <v>143</v>
      </c>
      <c r="N81" s="66" t="s">
        <v>300</v>
      </c>
      <c r="O81" s="66" t="s">
        <v>145</v>
      </c>
      <c r="P81" s="70" t="s">
        <v>279</v>
      </c>
      <c r="Q81" s="70" t="s">
        <v>400</v>
      </c>
      <c r="R81" s="70" t="s">
        <v>145</v>
      </c>
      <c r="S81" s="83" t="s">
        <v>179</v>
      </c>
      <c r="T81" s="83" t="s">
        <v>337</v>
      </c>
      <c r="U81" s="83" t="s">
        <v>283</v>
      </c>
      <c r="V81" s="86" t="s">
        <v>292</v>
      </c>
      <c r="W81" s="86" t="s">
        <v>284</v>
      </c>
      <c r="X81" s="86" t="s">
        <v>743</v>
      </c>
      <c r="AA81" s="83" t="s">
        <v>444</v>
      </c>
      <c r="AC81" s="83" t="s">
        <v>208</v>
      </c>
      <c r="AD81" s="83" t="s">
        <v>208</v>
      </c>
      <c r="AE81" s="83" t="s">
        <v>184</v>
      </c>
      <c r="AF81" s="83" t="s">
        <v>184</v>
      </c>
    </row>
    <row r="82" spans="1:32" ht="32" x14ac:dyDescent="0.2">
      <c r="A82" s="1">
        <v>81</v>
      </c>
      <c r="B82" s="1"/>
      <c r="C82" s="58" t="s">
        <v>744</v>
      </c>
      <c r="D82" s="70" t="s">
        <v>718</v>
      </c>
      <c r="E82" s="70" t="s">
        <v>718</v>
      </c>
      <c r="F82" s="76" t="s">
        <v>745</v>
      </c>
      <c r="G82" s="74" t="s">
        <v>140</v>
      </c>
      <c r="H82" s="70" t="s">
        <v>443</v>
      </c>
      <c r="I82" s="74" t="s">
        <v>142</v>
      </c>
      <c r="J82" s="74">
        <v>45775</v>
      </c>
      <c r="K82" s="75"/>
      <c r="L82" s="75" t="s">
        <v>143</v>
      </c>
      <c r="N82" s="66" t="s">
        <v>324</v>
      </c>
      <c r="O82" s="66" t="s">
        <v>145</v>
      </c>
      <c r="P82" s="70" t="s">
        <v>256</v>
      </c>
      <c r="Q82" s="70" t="s">
        <v>400</v>
      </c>
      <c r="R82" s="70" t="s">
        <v>145</v>
      </c>
      <c r="S82" s="83" t="s">
        <v>179</v>
      </c>
      <c r="T82" s="83" t="s">
        <v>337</v>
      </c>
      <c r="U82" s="83" t="s">
        <v>283</v>
      </c>
      <c r="V82" s="86" t="s">
        <v>292</v>
      </c>
      <c r="W82" s="86" t="s">
        <v>664</v>
      </c>
      <c r="X82" s="86" t="s">
        <v>743</v>
      </c>
      <c r="AA82" s="83" t="s">
        <v>444</v>
      </c>
      <c r="AC82" s="83" t="s">
        <v>208</v>
      </c>
      <c r="AD82" s="83" t="s">
        <v>208</v>
      </c>
      <c r="AE82" s="83" t="s">
        <v>184</v>
      </c>
      <c r="AF82" s="83" t="s">
        <v>184</v>
      </c>
    </row>
    <row r="83" spans="1:32" ht="32" x14ac:dyDescent="0.2">
      <c r="A83" s="1">
        <v>82</v>
      </c>
      <c r="B83" s="1"/>
      <c r="C83" s="57" t="s">
        <v>746</v>
      </c>
      <c r="D83" s="70" t="s">
        <v>747</v>
      </c>
      <c r="E83" s="70" t="s">
        <v>747</v>
      </c>
      <c r="F83" s="76" t="s">
        <v>748</v>
      </c>
      <c r="G83" s="74" t="s">
        <v>140</v>
      </c>
      <c r="H83" s="70" t="s">
        <v>443</v>
      </c>
      <c r="I83" s="74" t="s">
        <v>142</v>
      </c>
      <c r="J83" s="74">
        <v>45775</v>
      </c>
      <c r="K83" s="75"/>
      <c r="L83" s="75" t="s">
        <v>143</v>
      </c>
      <c r="N83" s="66" t="s">
        <v>324</v>
      </c>
      <c r="O83" s="66" t="s">
        <v>145</v>
      </c>
      <c r="P83" s="70" t="s">
        <v>256</v>
      </c>
      <c r="Q83" s="70" t="s">
        <v>400</v>
      </c>
      <c r="R83" s="70" t="s">
        <v>145</v>
      </c>
      <c r="S83" s="83" t="s">
        <v>146</v>
      </c>
      <c r="T83" s="83" t="s">
        <v>357</v>
      </c>
      <c r="U83" s="83" t="s">
        <v>181</v>
      </c>
      <c r="V83" s="86" t="s">
        <v>206</v>
      </c>
      <c r="W83" s="86" t="s">
        <v>749</v>
      </c>
      <c r="AA83" s="83" t="s">
        <v>520</v>
      </c>
      <c r="AB83" s="83" t="s">
        <v>748</v>
      </c>
      <c r="AC83" s="83" t="s">
        <v>750</v>
      </c>
      <c r="AD83" s="83" t="s">
        <v>284</v>
      </c>
      <c r="AE83" s="83" t="s">
        <v>151</v>
      </c>
      <c r="AF83" s="83" t="s">
        <v>151</v>
      </c>
    </row>
    <row r="84" spans="1:32" ht="48" x14ac:dyDescent="0.2">
      <c r="A84" s="1">
        <v>83</v>
      </c>
      <c r="B84" s="1"/>
      <c r="C84" s="58" t="s">
        <v>751</v>
      </c>
      <c r="D84" s="70" t="s">
        <v>752</v>
      </c>
      <c r="E84" s="70" t="s">
        <v>752</v>
      </c>
      <c r="F84" s="76" t="s">
        <v>753</v>
      </c>
      <c r="G84" s="74" t="s">
        <v>140</v>
      </c>
      <c r="H84" s="70" t="s">
        <v>443</v>
      </c>
      <c r="I84" s="74" t="s">
        <v>142</v>
      </c>
      <c r="J84" s="74">
        <v>45775</v>
      </c>
      <c r="K84" s="75">
        <v>44470</v>
      </c>
      <c r="L84" s="75" t="s">
        <v>143</v>
      </c>
      <c r="N84" s="66" t="s">
        <v>324</v>
      </c>
      <c r="O84" s="66" t="s">
        <v>145</v>
      </c>
      <c r="P84" s="70" t="s">
        <v>256</v>
      </c>
      <c r="Q84" s="70" t="s">
        <v>400</v>
      </c>
      <c r="R84" s="70" t="s">
        <v>145</v>
      </c>
      <c r="S84" s="83" t="s">
        <v>179</v>
      </c>
      <c r="T84" s="83" t="s">
        <v>269</v>
      </c>
      <c r="U84" s="83" t="s">
        <v>148</v>
      </c>
      <c r="V84" s="86" t="s">
        <v>292</v>
      </c>
      <c r="W84" s="86" t="s">
        <v>754</v>
      </c>
      <c r="AA84" s="83" t="s">
        <v>444</v>
      </c>
      <c r="AC84" s="83" t="s">
        <v>208</v>
      </c>
      <c r="AD84" s="83" t="s">
        <v>208</v>
      </c>
      <c r="AE84" s="83" t="s">
        <v>184</v>
      </c>
      <c r="AF84" s="83" t="s">
        <v>184</v>
      </c>
    </row>
    <row r="85" spans="1:32" ht="32" x14ac:dyDescent="0.2">
      <c r="A85" s="1">
        <v>84</v>
      </c>
      <c r="B85" s="1"/>
      <c r="C85" s="57" t="s">
        <v>755</v>
      </c>
      <c r="D85" s="70" t="s">
        <v>756</v>
      </c>
      <c r="E85" s="70" t="s">
        <v>756</v>
      </c>
      <c r="F85" s="76" t="s">
        <v>757</v>
      </c>
      <c r="G85" s="74" t="s">
        <v>140</v>
      </c>
      <c r="H85" s="70" t="s">
        <v>443</v>
      </c>
      <c r="I85" s="74" t="s">
        <v>142</v>
      </c>
      <c r="J85" s="74">
        <v>45775</v>
      </c>
      <c r="K85" s="75"/>
      <c r="L85" s="75" t="s">
        <v>143</v>
      </c>
      <c r="N85" s="66" t="s">
        <v>324</v>
      </c>
      <c r="O85" s="66" t="s">
        <v>145</v>
      </c>
      <c r="P85" s="70" t="s">
        <v>256</v>
      </c>
      <c r="Q85" s="70" t="s">
        <v>400</v>
      </c>
      <c r="R85" s="70" t="s">
        <v>145</v>
      </c>
      <c r="S85" s="83" t="s">
        <v>179</v>
      </c>
      <c r="T85" s="83" t="s">
        <v>357</v>
      </c>
      <c r="U85" s="83" t="s">
        <v>148</v>
      </c>
      <c r="V85" s="86" t="s">
        <v>292</v>
      </c>
      <c r="W85" s="86" t="s">
        <v>758</v>
      </c>
      <c r="AA85" s="83" t="s">
        <v>444</v>
      </c>
      <c r="AE85" s="83" t="s">
        <v>184</v>
      </c>
      <c r="AF85" s="83" t="s">
        <v>184</v>
      </c>
    </row>
    <row r="86" spans="1:32" ht="16" x14ac:dyDescent="0.2">
      <c r="A86" s="1">
        <v>85</v>
      </c>
      <c r="B86" s="1"/>
      <c r="C86" s="58" t="s">
        <v>759</v>
      </c>
      <c r="D86" s="70" t="s">
        <v>597</v>
      </c>
      <c r="E86" s="70" t="s">
        <v>597</v>
      </c>
      <c r="F86" s="76" t="s">
        <v>760</v>
      </c>
      <c r="G86" s="74" t="s">
        <v>140</v>
      </c>
      <c r="H86" s="70" t="s">
        <v>443</v>
      </c>
      <c r="I86" s="74" t="s">
        <v>142</v>
      </c>
      <c r="J86" s="74">
        <v>45775</v>
      </c>
      <c r="K86" s="75"/>
      <c r="L86" s="75" t="s">
        <v>143</v>
      </c>
      <c r="N86" s="66" t="s">
        <v>216</v>
      </c>
      <c r="O86" s="66" t="s">
        <v>145</v>
      </c>
      <c r="P86" s="70" t="s">
        <v>256</v>
      </c>
      <c r="Q86" s="70" t="s">
        <v>400</v>
      </c>
      <c r="R86" s="70" t="s">
        <v>145</v>
      </c>
      <c r="S86" s="83" t="s">
        <v>179</v>
      </c>
      <c r="T86" s="83" t="s">
        <v>357</v>
      </c>
      <c r="U86" s="83" t="s">
        <v>148</v>
      </c>
      <c r="V86" s="86" t="s">
        <v>258</v>
      </c>
      <c r="W86" s="86" t="s">
        <v>761</v>
      </c>
      <c r="Y86" s="86" t="s">
        <v>320</v>
      </c>
      <c r="AA86" s="83" t="s">
        <v>444</v>
      </c>
      <c r="AC86" s="83" t="s">
        <v>208</v>
      </c>
      <c r="AD86" s="83" t="s">
        <v>208</v>
      </c>
      <c r="AE86" s="83" t="s">
        <v>151</v>
      </c>
      <c r="AF86" s="83" t="s">
        <v>151</v>
      </c>
    </row>
    <row r="87" spans="1:32" ht="16" x14ac:dyDescent="0.2">
      <c r="A87" s="1">
        <v>86</v>
      </c>
      <c r="B87" s="1"/>
      <c r="C87" s="57" t="s">
        <v>762</v>
      </c>
      <c r="D87" s="70" t="s">
        <v>763</v>
      </c>
      <c r="E87" s="70" t="s">
        <v>764</v>
      </c>
      <c r="F87" s="76" t="s">
        <v>765</v>
      </c>
      <c r="G87" s="76" t="s">
        <v>140</v>
      </c>
      <c r="H87" s="70" t="s">
        <v>443</v>
      </c>
      <c r="I87" s="74" t="s">
        <v>142</v>
      </c>
      <c r="J87" s="74">
        <v>45775</v>
      </c>
      <c r="K87" s="75"/>
      <c r="L87" s="75" t="s">
        <v>143</v>
      </c>
      <c r="N87" s="66" t="s">
        <v>305</v>
      </c>
      <c r="O87" s="66" t="s">
        <v>145</v>
      </c>
      <c r="P87" s="70" t="s">
        <v>256</v>
      </c>
      <c r="Q87" s="70" t="s">
        <v>400</v>
      </c>
      <c r="R87" s="70" t="s">
        <v>145</v>
      </c>
      <c r="S87" s="83" t="s">
        <v>179</v>
      </c>
      <c r="T87" s="83" t="s">
        <v>180</v>
      </c>
      <c r="U87" s="83" t="s">
        <v>369</v>
      </c>
      <c r="V87" s="86" t="s">
        <v>206</v>
      </c>
      <c r="W87" s="86" t="s">
        <v>766</v>
      </c>
      <c r="AA87" s="83" t="s">
        <v>520</v>
      </c>
      <c r="AB87" s="87" t="s">
        <v>658</v>
      </c>
      <c r="AC87" s="83" t="s">
        <v>767</v>
      </c>
      <c r="AD87" s="83" t="s">
        <v>768</v>
      </c>
      <c r="AE87" s="83" t="s">
        <v>151</v>
      </c>
      <c r="AF87" s="83" t="s">
        <v>151</v>
      </c>
    </row>
    <row r="88" spans="1:32" ht="48" x14ac:dyDescent="0.2">
      <c r="A88" s="1">
        <v>87</v>
      </c>
      <c r="B88" s="1"/>
      <c r="C88" s="58" t="s">
        <v>769</v>
      </c>
      <c r="D88" s="70" t="s">
        <v>770</v>
      </c>
      <c r="E88" s="70" t="s">
        <v>770</v>
      </c>
      <c r="F88" s="76" t="s">
        <v>771</v>
      </c>
      <c r="G88" s="74" t="s">
        <v>140</v>
      </c>
      <c r="H88" s="70" t="s">
        <v>443</v>
      </c>
      <c r="I88" s="74" t="s">
        <v>142</v>
      </c>
      <c r="J88" s="74">
        <v>45775</v>
      </c>
      <c r="K88" s="75"/>
      <c r="L88" s="75" t="s">
        <v>143</v>
      </c>
      <c r="N88" s="66" t="s">
        <v>144</v>
      </c>
      <c r="O88" s="66" t="s">
        <v>155</v>
      </c>
      <c r="P88" s="70" t="s">
        <v>256</v>
      </c>
      <c r="Q88" s="70" t="s">
        <v>257</v>
      </c>
      <c r="R88" s="70" t="s">
        <v>304</v>
      </c>
      <c r="S88" s="83" t="s">
        <v>179</v>
      </c>
      <c r="T88" s="83" t="s">
        <v>357</v>
      </c>
      <c r="U88" s="83" t="s">
        <v>148</v>
      </c>
      <c r="V88" s="86" t="s">
        <v>206</v>
      </c>
      <c r="Y88" s="86" t="s">
        <v>772</v>
      </c>
      <c r="AA88" s="83" t="s">
        <v>444</v>
      </c>
      <c r="AC88" s="83" t="s">
        <v>208</v>
      </c>
      <c r="AD88" s="83" t="s">
        <v>208</v>
      </c>
      <c r="AE88" s="83" t="s">
        <v>151</v>
      </c>
      <c r="AF88" s="83" t="s">
        <v>151</v>
      </c>
    </row>
    <row r="89" spans="1:32" ht="32" x14ac:dyDescent="0.2">
      <c r="A89" s="1">
        <v>88</v>
      </c>
      <c r="B89" s="1"/>
      <c r="C89" s="57" t="s">
        <v>773</v>
      </c>
      <c r="D89" s="70" t="s">
        <v>714</v>
      </c>
      <c r="E89" s="70" t="s">
        <v>714</v>
      </c>
      <c r="F89" s="76" t="s">
        <v>774</v>
      </c>
      <c r="G89" s="74" t="s">
        <v>140</v>
      </c>
      <c r="H89" s="70" t="s">
        <v>224</v>
      </c>
      <c r="I89" s="74" t="s">
        <v>775</v>
      </c>
      <c r="J89" s="74">
        <v>45775</v>
      </c>
      <c r="K89" s="75">
        <v>45751</v>
      </c>
      <c r="L89" s="75" t="s">
        <v>143</v>
      </c>
    </row>
    <row r="90" spans="1:32" ht="16" x14ac:dyDescent="0.2">
      <c r="A90" s="1">
        <v>89</v>
      </c>
      <c r="B90" s="1"/>
      <c r="C90" s="58" t="s">
        <v>776</v>
      </c>
      <c r="D90" s="70" t="s">
        <v>777</v>
      </c>
      <c r="E90" s="70" t="s">
        <v>777</v>
      </c>
      <c r="F90" s="76" t="s">
        <v>778</v>
      </c>
      <c r="G90" s="74" t="s">
        <v>140</v>
      </c>
      <c r="H90" s="70" t="s">
        <v>443</v>
      </c>
      <c r="I90" s="74" t="s">
        <v>142</v>
      </c>
      <c r="J90" s="74">
        <v>45775</v>
      </c>
      <c r="K90" s="75"/>
      <c r="L90" s="75" t="s">
        <v>143</v>
      </c>
      <c r="N90" s="66" t="s">
        <v>144</v>
      </c>
      <c r="O90" s="66" t="s">
        <v>155</v>
      </c>
      <c r="P90" s="70" t="s">
        <v>325</v>
      </c>
      <c r="Q90" s="70" t="s">
        <v>400</v>
      </c>
      <c r="R90" s="70" t="s">
        <v>145</v>
      </c>
      <c r="S90" s="83" t="s">
        <v>179</v>
      </c>
      <c r="T90" s="83" t="s">
        <v>357</v>
      </c>
      <c r="U90" s="83" t="s">
        <v>148</v>
      </c>
      <c r="V90" s="86" t="s">
        <v>258</v>
      </c>
      <c r="Y90" s="86" t="s">
        <v>262</v>
      </c>
      <c r="AA90" s="83" t="s">
        <v>444</v>
      </c>
      <c r="AC90" s="83" t="s">
        <v>208</v>
      </c>
      <c r="AD90" s="83" t="s">
        <v>208</v>
      </c>
      <c r="AE90" s="83" t="s">
        <v>151</v>
      </c>
      <c r="AF90" s="83" t="s">
        <v>151</v>
      </c>
    </row>
    <row r="91" spans="1:32" ht="16" x14ac:dyDescent="0.2">
      <c r="A91" s="1">
        <v>90</v>
      </c>
      <c r="B91" s="1"/>
      <c r="C91" s="57" t="s">
        <v>779</v>
      </c>
      <c r="D91" s="70" t="s">
        <v>780</v>
      </c>
      <c r="E91" s="70" t="s">
        <v>780</v>
      </c>
      <c r="F91" s="76" t="s">
        <v>781</v>
      </c>
      <c r="G91" s="74" t="s">
        <v>140</v>
      </c>
      <c r="H91" s="70" t="s">
        <v>224</v>
      </c>
      <c r="I91" s="74" t="s">
        <v>782</v>
      </c>
      <c r="J91" s="74">
        <v>45775</v>
      </c>
      <c r="K91" s="75"/>
      <c r="L91" s="75" t="s">
        <v>143</v>
      </c>
    </row>
    <row r="92" spans="1:32" x14ac:dyDescent="0.2">
      <c r="A92" s="1">
        <v>91</v>
      </c>
      <c r="B92" s="1"/>
      <c r="C92" s="1" t="s">
        <v>783</v>
      </c>
      <c r="D92" s="70" t="s">
        <v>784</v>
      </c>
      <c r="E92" s="70" t="s">
        <v>785</v>
      </c>
      <c r="F92" s="76" t="s">
        <v>786</v>
      </c>
      <c r="G92" s="74" t="s">
        <v>140</v>
      </c>
      <c r="H92" s="70" t="s">
        <v>443</v>
      </c>
      <c r="I92" s="74" t="s">
        <v>142</v>
      </c>
      <c r="J92" s="74">
        <v>45775</v>
      </c>
      <c r="K92" s="75">
        <v>43272</v>
      </c>
      <c r="L92" s="75" t="s">
        <v>143</v>
      </c>
      <c r="N92" s="66" t="s">
        <v>216</v>
      </c>
      <c r="O92" s="66" t="s">
        <v>255</v>
      </c>
      <c r="P92" s="70" t="s">
        <v>290</v>
      </c>
      <c r="Q92" s="70" t="s">
        <v>381</v>
      </c>
      <c r="R92" s="70" t="s">
        <v>145</v>
      </c>
      <c r="S92" s="83" t="s">
        <v>157</v>
      </c>
      <c r="T92" s="83" t="s">
        <v>357</v>
      </c>
      <c r="U92" s="83" t="s">
        <v>148</v>
      </c>
      <c r="V92" s="86" t="s">
        <v>258</v>
      </c>
      <c r="Y92" s="86" t="s">
        <v>262</v>
      </c>
      <c r="AA92" s="83" t="s">
        <v>444</v>
      </c>
      <c r="AC92" s="83" t="s">
        <v>208</v>
      </c>
      <c r="AD92" s="83" t="s">
        <v>208</v>
      </c>
      <c r="AE92" s="83" t="s">
        <v>171</v>
      </c>
      <c r="AF92" s="83" t="s">
        <v>171</v>
      </c>
    </row>
    <row r="93" spans="1:32" x14ac:dyDescent="0.2">
      <c r="A93" s="1">
        <v>92</v>
      </c>
      <c r="B93" s="1"/>
      <c r="C93" s="1" t="s">
        <v>787</v>
      </c>
      <c r="D93" s="70" t="s">
        <v>788</v>
      </c>
      <c r="E93" s="70" t="s">
        <v>788</v>
      </c>
      <c r="F93" s="76" t="s">
        <v>789</v>
      </c>
      <c r="G93" s="74" t="s">
        <v>140</v>
      </c>
      <c r="H93" s="70" t="s">
        <v>443</v>
      </c>
      <c r="I93" s="74" t="s">
        <v>142</v>
      </c>
      <c r="J93" s="74">
        <v>45775</v>
      </c>
      <c r="K93" s="75"/>
      <c r="L93" s="75" t="s">
        <v>143</v>
      </c>
      <c r="M93" s="66" t="s">
        <v>46</v>
      </c>
      <c r="N93" s="66" t="s">
        <v>144</v>
      </c>
      <c r="O93" s="66" t="s">
        <v>168</v>
      </c>
      <c r="P93" s="70" t="s">
        <v>290</v>
      </c>
      <c r="Q93" s="70" t="s">
        <v>168</v>
      </c>
      <c r="R93" s="70" t="s">
        <v>304</v>
      </c>
      <c r="S93" s="83" t="s">
        <v>146</v>
      </c>
      <c r="T93" s="83" t="s">
        <v>357</v>
      </c>
      <c r="U93" s="83" t="s">
        <v>369</v>
      </c>
      <c r="V93" s="86" t="s">
        <v>258</v>
      </c>
      <c r="W93" s="86" t="s">
        <v>790</v>
      </c>
      <c r="Y93" s="86" t="s">
        <v>791</v>
      </c>
      <c r="AA93" s="83" t="s">
        <v>444</v>
      </c>
      <c r="AC93" s="83" t="s">
        <v>208</v>
      </c>
      <c r="AD93" s="83" t="s">
        <v>208</v>
      </c>
      <c r="AE93" s="83" t="s">
        <v>171</v>
      </c>
      <c r="AF93" s="83" t="s">
        <v>171</v>
      </c>
    </row>
    <row r="94" spans="1:32" ht="32" x14ac:dyDescent="0.2">
      <c r="A94" s="1">
        <v>93</v>
      </c>
      <c r="B94" s="1"/>
      <c r="C94" s="58" t="s">
        <v>792</v>
      </c>
      <c r="D94" s="70" t="s">
        <v>514</v>
      </c>
      <c r="E94" s="70" t="s">
        <v>514</v>
      </c>
      <c r="F94" s="76" t="s">
        <v>793</v>
      </c>
      <c r="G94" s="74" t="s">
        <v>140</v>
      </c>
      <c r="H94" s="70" t="s">
        <v>224</v>
      </c>
      <c r="I94" s="74" t="s">
        <v>794</v>
      </c>
      <c r="J94" s="74">
        <v>45775</v>
      </c>
      <c r="K94" s="75"/>
      <c r="L94" s="75" t="s">
        <v>143</v>
      </c>
    </row>
    <row r="95" spans="1:32" ht="16" x14ac:dyDescent="0.2">
      <c r="A95" s="1">
        <v>94</v>
      </c>
      <c r="B95" s="1"/>
      <c r="C95" s="57" t="s">
        <v>795</v>
      </c>
      <c r="D95" s="70" t="s">
        <v>796</v>
      </c>
      <c r="E95" s="70" t="s">
        <v>796</v>
      </c>
      <c r="F95" s="76" t="s">
        <v>797</v>
      </c>
      <c r="G95" s="74" t="s">
        <v>140</v>
      </c>
      <c r="H95" s="70" t="s">
        <v>443</v>
      </c>
      <c r="I95" s="74" t="s">
        <v>142</v>
      </c>
      <c r="J95" s="74">
        <v>45775</v>
      </c>
      <c r="K95" s="75"/>
      <c r="L95" s="75" t="s">
        <v>143</v>
      </c>
      <c r="N95" s="66" t="s">
        <v>144</v>
      </c>
      <c r="O95" s="66" t="s">
        <v>155</v>
      </c>
      <c r="P95" s="70" t="s">
        <v>256</v>
      </c>
      <c r="Q95" s="70" t="s">
        <v>400</v>
      </c>
      <c r="R95" s="70" t="s">
        <v>145</v>
      </c>
      <c r="S95" s="83" t="s">
        <v>179</v>
      </c>
      <c r="T95" s="83" t="s">
        <v>189</v>
      </c>
      <c r="U95" s="83" t="s">
        <v>148</v>
      </c>
      <c r="V95" s="86" t="s">
        <v>206</v>
      </c>
      <c r="Y95" s="86" t="s">
        <v>798</v>
      </c>
      <c r="AA95" s="83" t="s">
        <v>444</v>
      </c>
      <c r="AC95" s="83" t="s">
        <v>208</v>
      </c>
      <c r="AD95" s="83" t="s">
        <v>208</v>
      </c>
      <c r="AE95" s="83" t="s">
        <v>184</v>
      </c>
      <c r="AF95" s="83" t="s">
        <v>184</v>
      </c>
    </row>
    <row r="96" spans="1:32" ht="16" x14ac:dyDescent="0.2">
      <c r="A96" s="1">
        <v>95</v>
      </c>
      <c r="B96" s="1"/>
      <c r="C96" s="58" t="s">
        <v>799</v>
      </c>
      <c r="D96" s="70" t="s">
        <v>800</v>
      </c>
      <c r="E96" s="70" t="s">
        <v>800</v>
      </c>
      <c r="F96" s="76" t="s">
        <v>801</v>
      </c>
      <c r="G96" s="74" t="s">
        <v>140</v>
      </c>
      <c r="H96" s="70" t="s">
        <v>443</v>
      </c>
      <c r="I96" s="74" t="s">
        <v>142</v>
      </c>
      <c r="J96" s="74">
        <v>45775</v>
      </c>
      <c r="K96" s="75"/>
      <c r="L96" s="75" t="s">
        <v>143</v>
      </c>
      <c r="N96" s="66" t="s">
        <v>144</v>
      </c>
      <c r="O96" s="66" t="s">
        <v>347</v>
      </c>
      <c r="P96" s="70" t="s">
        <v>216</v>
      </c>
      <c r="Q96" s="70" t="s">
        <v>347</v>
      </c>
      <c r="R96" s="70" t="s">
        <v>304</v>
      </c>
      <c r="S96" s="83" t="s">
        <v>179</v>
      </c>
      <c r="T96" s="83" t="s">
        <v>269</v>
      </c>
      <c r="U96" s="83" t="s">
        <v>148</v>
      </c>
      <c r="V96" s="86" t="s">
        <v>258</v>
      </c>
      <c r="Y96" s="86" t="s">
        <v>372</v>
      </c>
      <c r="AA96" s="83" t="s">
        <v>444</v>
      </c>
      <c r="AC96" s="83" t="s">
        <v>208</v>
      </c>
      <c r="AD96" s="83" t="s">
        <v>208</v>
      </c>
      <c r="AE96" s="83" t="s">
        <v>171</v>
      </c>
      <c r="AF96" s="83" t="s">
        <v>171</v>
      </c>
    </row>
    <row r="97" spans="1:32" ht="16" x14ac:dyDescent="0.2">
      <c r="A97" s="1">
        <v>96</v>
      </c>
      <c r="B97" s="1"/>
      <c r="C97" s="57" t="s">
        <v>802</v>
      </c>
      <c r="D97" s="70" t="s">
        <v>803</v>
      </c>
      <c r="E97" s="70" t="s">
        <v>803</v>
      </c>
      <c r="F97" s="76" t="s">
        <v>804</v>
      </c>
      <c r="G97" s="74" t="s">
        <v>140</v>
      </c>
      <c r="H97" s="70" t="s">
        <v>443</v>
      </c>
      <c r="I97" s="74" t="s">
        <v>142</v>
      </c>
      <c r="J97" s="74">
        <v>45797</v>
      </c>
      <c r="K97" s="75"/>
      <c r="L97" s="75" t="s">
        <v>143</v>
      </c>
      <c r="N97" s="66" t="s">
        <v>144</v>
      </c>
      <c r="O97" s="66" t="s">
        <v>145</v>
      </c>
      <c r="P97" s="70" t="s">
        <v>325</v>
      </c>
      <c r="Q97" s="70" t="s">
        <v>400</v>
      </c>
      <c r="R97" s="70" t="s">
        <v>145</v>
      </c>
      <c r="S97" s="83" t="s">
        <v>157</v>
      </c>
      <c r="T97" s="83" t="s">
        <v>258</v>
      </c>
      <c r="U97" s="83" t="s">
        <v>148</v>
      </c>
      <c r="V97" s="86" t="s">
        <v>149</v>
      </c>
      <c r="Y97" s="86" t="s">
        <v>262</v>
      </c>
      <c r="AA97" s="83" t="s">
        <v>444</v>
      </c>
      <c r="AC97" s="83" t="s">
        <v>208</v>
      </c>
      <c r="AD97" s="83" t="s">
        <v>208</v>
      </c>
      <c r="AE97" s="83" t="s">
        <v>151</v>
      </c>
      <c r="AF97" s="83" t="s">
        <v>151</v>
      </c>
    </row>
    <row r="98" spans="1:32" ht="16" x14ac:dyDescent="0.2">
      <c r="A98" s="1">
        <v>97</v>
      </c>
      <c r="B98" s="1"/>
      <c r="C98" s="58" t="s">
        <v>805</v>
      </c>
      <c r="D98" s="70" t="s">
        <v>764</v>
      </c>
      <c r="E98" s="70" t="s">
        <v>764</v>
      </c>
      <c r="F98" s="76" t="s">
        <v>806</v>
      </c>
      <c r="G98" s="74" t="s">
        <v>140</v>
      </c>
      <c r="H98" s="70" t="s">
        <v>443</v>
      </c>
      <c r="I98" s="74" t="s">
        <v>142</v>
      </c>
      <c r="J98" s="74">
        <v>45775</v>
      </c>
      <c r="K98" s="75"/>
      <c r="L98" s="75" t="s">
        <v>143</v>
      </c>
      <c r="N98" s="66" t="s">
        <v>314</v>
      </c>
      <c r="O98" s="66" t="s">
        <v>336</v>
      </c>
      <c r="P98" s="70" t="s">
        <v>302</v>
      </c>
      <c r="Q98" s="70" t="s">
        <v>314</v>
      </c>
      <c r="R98" s="70" t="s">
        <v>304</v>
      </c>
      <c r="S98" s="83" t="s">
        <v>179</v>
      </c>
      <c r="T98" s="83" t="s">
        <v>357</v>
      </c>
      <c r="U98" s="83" t="s">
        <v>148</v>
      </c>
      <c r="V98" s="86" t="s">
        <v>338</v>
      </c>
      <c r="W98" s="86" t="s">
        <v>394</v>
      </c>
      <c r="Y98" s="86" t="s">
        <v>385</v>
      </c>
      <c r="AA98" s="83" t="s">
        <v>444</v>
      </c>
      <c r="AC98" s="83" t="s">
        <v>208</v>
      </c>
      <c r="AD98" s="83" t="s">
        <v>208</v>
      </c>
      <c r="AE98" s="83" t="s">
        <v>151</v>
      </c>
      <c r="AF98" s="83" t="s">
        <v>151</v>
      </c>
    </row>
    <row r="99" spans="1:32" ht="16" x14ac:dyDescent="0.2">
      <c r="A99" s="1">
        <v>98</v>
      </c>
      <c r="B99" s="1"/>
      <c r="C99" s="57" t="s">
        <v>807</v>
      </c>
      <c r="D99" s="70" t="s">
        <v>808</v>
      </c>
      <c r="E99" s="70" t="s">
        <v>808</v>
      </c>
      <c r="F99" s="76" t="s">
        <v>809</v>
      </c>
      <c r="G99" s="74" t="s">
        <v>140</v>
      </c>
      <c r="H99" s="70" t="s">
        <v>443</v>
      </c>
      <c r="I99" s="74" t="s">
        <v>142</v>
      </c>
      <c r="J99" s="74">
        <v>45797</v>
      </c>
      <c r="K99" s="75"/>
      <c r="L99" s="75" t="s">
        <v>143</v>
      </c>
      <c r="N99" s="66" t="s">
        <v>144</v>
      </c>
      <c r="O99" s="66" t="s">
        <v>155</v>
      </c>
      <c r="P99" s="70" t="s">
        <v>256</v>
      </c>
      <c r="Q99" s="70" t="s">
        <v>257</v>
      </c>
      <c r="R99" s="70" t="s">
        <v>145</v>
      </c>
      <c r="S99" s="83" t="s">
        <v>156</v>
      </c>
      <c r="T99" s="83" t="s">
        <v>147</v>
      </c>
      <c r="U99" s="83" t="s">
        <v>158</v>
      </c>
      <c r="V99" s="86" t="s">
        <v>258</v>
      </c>
      <c r="W99" s="86" t="s">
        <v>370</v>
      </c>
      <c r="Y99" s="86" t="s">
        <v>810</v>
      </c>
      <c r="AA99" s="83" t="s">
        <v>444</v>
      </c>
      <c r="AC99" s="83" t="s">
        <v>208</v>
      </c>
      <c r="AD99" s="83" t="s">
        <v>208</v>
      </c>
      <c r="AE99" s="83" t="s">
        <v>184</v>
      </c>
      <c r="AF99" s="83" t="s">
        <v>184</v>
      </c>
    </row>
    <row r="100" spans="1:32" x14ac:dyDescent="0.2">
      <c r="A100" s="1">
        <v>99</v>
      </c>
      <c r="B100" s="1"/>
      <c r="C100" s="1" t="s">
        <v>811</v>
      </c>
      <c r="D100" s="70" t="s">
        <v>714</v>
      </c>
      <c r="E100" s="70" t="s">
        <v>714</v>
      </c>
      <c r="F100" s="76" t="s">
        <v>812</v>
      </c>
      <c r="G100" s="74" t="s">
        <v>140</v>
      </c>
      <c r="H100" s="70" t="s">
        <v>443</v>
      </c>
      <c r="I100" s="74" t="s">
        <v>142</v>
      </c>
      <c r="J100" s="74">
        <v>45797</v>
      </c>
      <c r="K100" s="75">
        <v>45566</v>
      </c>
      <c r="L100" s="75" t="s">
        <v>143</v>
      </c>
      <c r="N100" s="66" t="s">
        <v>144</v>
      </c>
      <c r="O100" s="66" t="s">
        <v>168</v>
      </c>
      <c r="P100" s="70" t="s">
        <v>290</v>
      </c>
      <c r="Q100" s="70" t="s">
        <v>257</v>
      </c>
      <c r="R100" s="70" t="s">
        <v>304</v>
      </c>
      <c r="S100" s="83" t="s">
        <v>179</v>
      </c>
      <c r="T100" s="83" t="s">
        <v>189</v>
      </c>
      <c r="U100" s="83" t="s">
        <v>148</v>
      </c>
      <c r="V100" s="86" t="s">
        <v>218</v>
      </c>
      <c r="Y100" s="86" t="s">
        <v>362</v>
      </c>
      <c r="AA100" s="83" t="s">
        <v>444</v>
      </c>
      <c r="AC100" s="83" t="s">
        <v>208</v>
      </c>
      <c r="AD100" s="83" t="s">
        <v>208</v>
      </c>
      <c r="AE100" s="83" t="s">
        <v>184</v>
      </c>
      <c r="AF100" s="83" t="s">
        <v>184</v>
      </c>
    </row>
    <row r="101" spans="1:32" x14ac:dyDescent="0.2">
      <c r="A101" s="1">
        <v>100</v>
      </c>
      <c r="B101" s="1"/>
      <c r="C101" s="1" t="s">
        <v>813</v>
      </c>
      <c r="D101" s="70" t="s">
        <v>814</v>
      </c>
      <c r="E101" s="70" t="s">
        <v>815</v>
      </c>
      <c r="F101" s="76" t="s">
        <v>816</v>
      </c>
      <c r="G101" s="74" t="s">
        <v>140</v>
      </c>
      <c r="H101" s="70" t="s">
        <v>443</v>
      </c>
      <c r="I101" s="74" t="s">
        <v>142</v>
      </c>
      <c r="J101" s="74">
        <v>45797</v>
      </c>
      <c r="K101" s="75">
        <v>45428</v>
      </c>
      <c r="L101" s="75" t="s">
        <v>143</v>
      </c>
      <c r="N101" s="66" t="s">
        <v>144</v>
      </c>
      <c r="O101" s="66" t="s">
        <v>168</v>
      </c>
      <c r="P101" s="70" t="s">
        <v>290</v>
      </c>
      <c r="Q101" s="70" t="s">
        <v>291</v>
      </c>
      <c r="R101" s="70" t="s">
        <v>304</v>
      </c>
      <c r="S101" s="83" t="s">
        <v>179</v>
      </c>
      <c r="T101" s="83" t="s">
        <v>305</v>
      </c>
      <c r="U101" s="83" t="s">
        <v>317</v>
      </c>
      <c r="V101" s="86" t="s">
        <v>817</v>
      </c>
      <c r="W101" s="86" t="s">
        <v>818</v>
      </c>
      <c r="X101" s="86" t="s">
        <v>819</v>
      </c>
      <c r="Y101" s="86" t="s">
        <v>820</v>
      </c>
      <c r="AA101" s="83" t="s">
        <v>520</v>
      </c>
      <c r="AC101" s="83" t="s">
        <v>258</v>
      </c>
      <c r="AD101" s="83" t="s">
        <v>821</v>
      </c>
      <c r="AE101" s="83" t="s">
        <v>151</v>
      </c>
      <c r="AF101" s="83" t="s">
        <v>151</v>
      </c>
    </row>
    <row r="102" spans="1:32" ht="48" x14ac:dyDescent="0.2">
      <c r="A102" s="1">
        <v>101</v>
      </c>
      <c r="B102" s="1"/>
      <c r="C102" s="10" t="s">
        <v>822</v>
      </c>
      <c r="D102" s="70" t="s">
        <v>642</v>
      </c>
      <c r="E102" s="70" t="s">
        <v>642</v>
      </c>
      <c r="F102" s="76" t="s">
        <v>823</v>
      </c>
      <c r="G102" s="74" t="s">
        <v>140</v>
      </c>
      <c r="H102" s="70" t="s">
        <v>443</v>
      </c>
      <c r="I102" s="74" t="s">
        <v>142</v>
      </c>
      <c r="J102" s="74">
        <v>45817</v>
      </c>
      <c r="K102" s="75">
        <v>45799</v>
      </c>
      <c r="L102" s="75" t="s">
        <v>143</v>
      </c>
      <c r="P102" s="70" t="s">
        <v>325</v>
      </c>
      <c r="Q102" s="70" t="s">
        <v>168</v>
      </c>
      <c r="R102" s="70" t="s">
        <v>304</v>
      </c>
      <c r="S102" s="83" t="s">
        <v>179</v>
      </c>
      <c r="T102" s="83" t="s">
        <v>269</v>
      </c>
      <c r="V102" s="86" t="s">
        <v>258</v>
      </c>
      <c r="X102" s="86" t="s">
        <v>824</v>
      </c>
      <c r="AA102" s="83" t="s">
        <v>444</v>
      </c>
      <c r="AC102" s="83" t="s">
        <v>208</v>
      </c>
      <c r="AD102" s="83" t="s">
        <v>208</v>
      </c>
      <c r="AE102" s="83" t="s">
        <v>184</v>
      </c>
    </row>
    <row r="103" spans="1:32" ht="160" x14ac:dyDescent="0.2">
      <c r="A103" s="1">
        <v>102</v>
      </c>
      <c r="B103" s="1"/>
      <c r="C103" s="60" t="s">
        <v>825</v>
      </c>
      <c r="D103" s="70" t="s">
        <v>826</v>
      </c>
      <c r="E103" s="70" t="s">
        <v>827</v>
      </c>
      <c r="F103" s="79" t="s">
        <v>828</v>
      </c>
      <c r="G103" s="74" t="s">
        <v>140</v>
      </c>
      <c r="H103" s="70" t="s">
        <v>443</v>
      </c>
      <c r="I103" s="74" t="s">
        <v>142</v>
      </c>
      <c r="J103" s="74">
        <f ca="1">TODAY()</f>
        <v>46058</v>
      </c>
      <c r="K103" s="75">
        <v>44986</v>
      </c>
      <c r="L103" s="75" t="s">
        <v>143</v>
      </c>
      <c r="P103" s="70" t="s">
        <v>325</v>
      </c>
      <c r="Q103" s="70" t="s">
        <v>291</v>
      </c>
      <c r="R103" s="70" t="s">
        <v>304</v>
      </c>
      <c r="S103" s="83" t="s">
        <v>179</v>
      </c>
      <c r="T103" s="83" t="s">
        <v>269</v>
      </c>
      <c r="V103" s="86" t="s">
        <v>829</v>
      </c>
      <c r="X103" s="86" t="s">
        <v>830</v>
      </c>
      <c r="AA103" s="83" t="s">
        <v>444</v>
      </c>
      <c r="AC103" s="83" t="s">
        <v>208</v>
      </c>
      <c r="AD103" s="83" t="s">
        <v>208</v>
      </c>
      <c r="AE103" s="83" t="s">
        <v>171</v>
      </c>
      <c r="AF103" s="83" t="s">
        <v>142</v>
      </c>
    </row>
    <row r="104" spans="1:32" ht="128" x14ac:dyDescent="0.2">
      <c r="A104" s="1">
        <v>103</v>
      </c>
      <c r="B104" s="1"/>
      <c r="C104" s="61" t="s">
        <v>831</v>
      </c>
      <c r="D104" s="70" t="s">
        <v>832</v>
      </c>
      <c r="E104" s="70" t="s">
        <v>833</v>
      </c>
      <c r="F104" s="79" t="s">
        <v>834</v>
      </c>
      <c r="G104" s="74" t="s">
        <v>140</v>
      </c>
      <c r="H104" s="70" t="s">
        <v>443</v>
      </c>
      <c r="I104" s="74" t="s">
        <v>142</v>
      </c>
      <c r="J104" s="74">
        <f ca="1">TODAY()</f>
        <v>46058</v>
      </c>
      <c r="K104" s="75">
        <v>45108</v>
      </c>
      <c r="L104" s="75" t="s">
        <v>143</v>
      </c>
      <c r="P104" s="70" t="s">
        <v>290</v>
      </c>
      <c r="Q104" s="70" t="s">
        <v>257</v>
      </c>
      <c r="R104" s="70" t="s">
        <v>145</v>
      </c>
      <c r="S104" s="83" t="s">
        <v>179</v>
      </c>
      <c r="T104" s="83" t="s">
        <v>157</v>
      </c>
      <c r="V104" s="86" t="s">
        <v>149</v>
      </c>
      <c r="Y104" s="86" t="s">
        <v>262</v>
      </c>
      <c r="AA104" s="83" t="s">
        <v>444</v>
      </c>
      <c r="AC104" s="83" t="s">
        <v>208</v>
      </c>
      <c r="AD104" s="83" t="s">
        <v>208</v>
      </c>
      <c r="AE104" s="83" t="s">
        <v>171</v>
      </c>
      <c r="AF104" s="83" t="s">
        <v>171</v>
      </c>
    </row>
    <row r="105" spans="1:32" ht="64" x14ac:dyDescent="0.2">
      <c r="A105" s="1">
        <v>104</v>
      </c>
      <c r="B105" s="1"/>
      <c r="C105" s="60" t="s">
        <v>835</v>
      </c>
      <c r="D105" s="70" t="s">
        <v>836</v>
      </c>
      <c r="E105" s="70" t="s">
        <v>517</v>
      </c>
      <c r="F105" s="79" t="s">
        <v>837</v>
      </c>
      <c r="G105" s="74" t="s">
        <v>140</v>
      </c>
      <c r="H105" s="70" t="s">
        <v>443</v>
      </c>
      <c r="I105" s="74" t="s">
        <v>142</v>
      </c>
      <c r="J105" s="74">
        <f ca="1">TODAY()</f>
        <v>46058</v>
      </c>
      <c r="K105" s="75">
        <v>44336</v>
      </c>
      <c r="L105" s="75" t="s">
        <v>143</v>
      </c>
      <c r="P105" s="70" t="s">
        <v>325</v>
      </c>
      <c r="Q105" s="70" t="s">
        <v>257</v>
      </c>
      <c r="R105" s="70" t="s">
        <v>304</v>
      </c>
      <c r="S105" s="83" t="s">
        <v>179</v>
      </c>
      <c r="T105" s="83" t="s">
        <v>189</v>
      </c>
      <c r="V105" s="86" t="s">
        <v>258</v>
      </c>
      <c r="W105" s="86" t="s">
        <v>838</v>
      </c>
      <c r="AA105" s="83" t="s">
        <v>444</v>
      </c>
      <c r="AC105" s="83" t="s">
        <v>208</v>
      </c>
      <c r="AD105" s="83" t="s">
        <v>208</v>
      </c>
    </row>
    <row r="106" spans="1:32" ht="87" customHeight="1" thickBot="1" x14ac:dyDescent="0.25">
      <c r="A106" s="1">
        <v>105</v>
      </c>
      <c r="B106" s="1"/>
      <c r="C106" s="62" t="s">
        <v>839</v>
      </c>
      <c r="D106" s="70" t="s">
        <v>840</v>
      </c>
      <c r="E106" s="70" t="s">
        <v>185</v>
      </c>
      <c r="F106" s="79" t="s">
        <v>841</v>
      </c>
      <c r="G106" s="74" t="s">
        <v>140</v>
      </c>
      <c r="H106" s="70" t="s">
        <v>443</v>
      </c>
      <c r="I106" s="74" t="s">
        <v>142</v>
      </c>
      <c r="J106" s="74">
        <f ca="1">TODAY()</f>
        <v>46058</v>
      </c>
      <c r="K106" s="75">
        <v>45717</v>
      </c>
      <c r="L106" s="75" t="s">
        <v>143</v>
      </c>
      <c r="P106" s="70" t="s">
        <v>290</v>
      </c>
      <c r="Q106" s="70" t="s">
        <v>291</v>
      </c>
      <c r="R106" s="70" t="s">
        <v>304</v>
      </c>
      <c r="S106" s="83" t="s">
        <v>179</v>
      </c>
      <c r="V106" s="86" t="s">
        <v>149</v>
      </c>
      <c r="Y106" s="86" t="s">
        <v>262</v>
      </c>
      <c r="AA106" s="83" t="s">
        <v>444</v>
      </c>
      <c r="AC106" s="83" t="s">
        <v>208</v>
      </c>
      <c r="AD106" s="83" t="s">
        <v>208</v>
      </c>
      <c r="AE106" s="83" t="s">
        <v>151</v>
      </c>
    </row>
  </sheetData>
  <phoneticPr fontId="4" type="noConversion"/>
  <dataValidations count="1">
    <dataValidation type="list" errorStyle="information" allowBlank="1" showInputMessage="1" showErrorMessage="1" sqref="V59 V103" xr:uid="{ABB71269-E38C-44B0-B26E-CE1CF01FBA14}">
      <formula1>IC_List</formula1>
    </dataValidation>
  </dataValidations>
  <hyperlinks>
    <hyperlink ref="D44" r:id="rId1" display="https://www.linkedin.com/in/erika-loggin-285280101/" xr:uid="{DE768187-CCE7-40DA-BF77-5E60F5BDB9B8}"/>
    <hyperlink ref="F43" r:id="rId2" xr:uid="{AA532068-497E-4623-BECF-AD12DE19575B}"/>
    <hyperlink ref="F76" r:id="rId3" xr:uid="{5768E094-E471-4E18-89CB-C3C01794619F}"/>
    <hyperlink ref="F75" r:id="rId4" xr:uid="{16350277-F53E-450C-8B77-C581F2A75F21}"/>
    <hyperlink ref="F73" r:id="rId5" xr:uid="{04E28953-9149-41DA-8E37-399BB9CDD409}"/>
    <hyperlink ref="F48" r:id="rId6" xr:uid="{8CD3BE59-45B1-4610-A2D2-752F94E843BD}"/>
    <hyperlink ref="F72" r:id="rId7" xr:uid="{C81A01E4-10E7-48E1-BAB8-2E9F0D934A88}"/>
    <hyperlink ref="F65" r:id="rId8" xr:uid="{F4F163CA-950A-44BB-ADF8-CD517571907E}"/>
    <hyperlink ref="F55" r:id="rId9" xr:uid="{59C1F250-1DAB-44D4-9203-B2FF377B2FBE}"/>
    <hyperlink ref="F23" r:id="rId10" xr:uid="{D350BAE3-7F8F-4121-841C-3989B2CB7651}"/>
    <hyperlink ref="F44" r:id="rId11" xr:uid="{62BB4E6A-F98E-4679-8678-F518BD2FC48E}"/>
    <hyperlink ref="F15" r:id="rId12" xr:uid="{DB6F52A7-8E33-4CE3-ACFF-A4365C2DBC98}"/>
    <hyperlink ref="F11" r:id="rId13" xr:uid="{5AE9CB9F-CAE6-40CE-8FB1-2087D3986DA1}"/>
    <hyperlink ref="F5" r:id="rId14" xr:uid="{C3EC3DD2-2C65-4C7B-ACB8-D4EC4EEEC06A}"/>
    <hyperlink ref="F4" r:id="rId15" xr:uid="{AE2FEABF-6692-46F8-BE6A-86CB667C395A}"/>
    <hyperlink ref="F22" r:id="rId16" xr:uid="{7D5DEF35-3553-4CEF-8D0B-5936D00C308B}"/>
    <hyperlink ref="F7" r:id="rId17" xr:uid="{ADB83E70-F75D-4513-B146-550731BB583B}"/>
    <hyperlink ref="F19" r:id="rId18" display="https://www.lms.ac.uk/women/diversity-statements-policy-advice" xr:uid="{4D7FCEE5-38CF-4F02-A87F-367632220D16}"/>
    <hyperlink ref="F18" r:id="rId19" xr:uid="{21F22186-DEF1-4AC7-B9E0-2D284FA5EB7B}"/>
    <hyperlink ref="F3" r:id="rId20" xr:uid="{D0EE77E4-BE33-41B9-AB03-75F6FC1CC9A7}"/>
    <hyperlink ref="F37" r:id="rId21" xr:uid="{2AA63FF7-D41D-423F-B54A-EB930C01BE38}"/>
    <hyperlink ref="F45" r:id="rId22" xr:uid="{19876B5B-7253-4589-AD7F-3C91FB62C980}"/>
    <hyperlink ref="F26" r:id="rId23" xr:uid="{3FB971BB-C774-45C7-9C27-9EF4E439D547}"/>
    <hyperlink ref="F35" r:id="rId24" xr:uid="{E7B5C0F8-B0AD-41EF-AFA5-F217D4576635}"/>
    <hyperlink ref="F99" r:id="rId25" xr:uid="{C9126824-466F-4805-8A72-9C3A3D25CE96}"/>
    <hyperlink ref="F56" r:id="rId26" display="https://leeds365.sharepoint.com/:b:/r/sites/TEAM-EPSRCEDIHubPlus/Shared Documents/Workstream 2 - Resource Centre/Supporting Material/01122021_Mission Critical Toolkit_DIGITAL.pdf?csf=1&amp;web=1&amp;e=HvjesC" xr:uid="{7F6BD1CC-1D90-4156-AF3F-F768A0B44673}"/>
    <hyperlink ref="F81" r:id="rId27" xr:uid="{425156D6-20B8-4EC8-8967-859E11F720C9}"/>
    <hyperlink ref="F86" r:id="rId28" xr:uid="{E91FED06-3D00-49BD-9DC9-F875217712B7}"/>
    <hyperlink ref="F94" r:id="rId29" xr:uid="{2E261807-DA19-4C93-B90B-434EF50A58C3}"/>
    <hyperlink ref="E101" r:id="rId30" display="https://link.springer.com/journal/41073" xr:uid="{DD9F172A-47A2-4AF0-A560-ECAF06F703E0}"/>
    <hyperlink ref="F98" r:id="rId31" xr:uid="{DB1C591C-73DF-4F6F-821A-4DECD46DE280}"/>
    <hyperlink ref="F36" r:id="rId32" xr:uid="{37760561-E0C7-48F2-8D2D-C76DF76B51F6}"/>
    <hyperlink ref="F101" r:id="rId33" xr:uid="{0F7362ED-050E-480F-917A-80FD941A3842}"/>
    <hyperlink ref="F103" r:id="rId34" xr:uid="{D462D1AF-C852-49B3-9334-F493AE46FE7C}"/>
    <hyperlink ref="F104" r:id="rId35" xr:uid="{160D730E-D43F-4905-8D25-41F918F81506}"/>
    <hyperlink ref="F105" r:id="rId36" xr:uid="{CD92D41E-3E62-4F44-8182-0D50E609B719}"/>
    <hyperlink ref="F106" r:id="rId37" xr:uid="{4B8A7C9C-9953-4EE9-85DC-D852DEFEB6FA}"/>
    <hyperlink ref="F25" r:id="rId38" xr:uid="{68B7C04C-9986-49A9-BA74-0288F33ED422}"/>
    <hyperlink ref="F54" r:id="rId39" display="https://leeds365.sharepoint.com/:p:/r/sites/TEAM-EPSRCEDIHubPlus/Shared%20Documents/Workstream%202%20-%20Resource%20Centre/Supporting%20Material/EPSRC-Neuro-Inclusion-Meetings-and-Events-Toolkit%20-%20Copy.pptx?d=wb9680e47395240628139d66721f2e57b&amp;csf=1&amp;web=1&amp;e=p5e7cB" xr:uid="{6113CD81-0F26-401B-8AA9-962DC36DCD5B}"/>
    <hyperlink ref="F82" r:id="rId40" xr:uid="{B6C49FAB-DC69-44AE-982B-3301200752FB}"/>
    <hyperlink ref="AB9" r:id="rId41" xr:uid="{7FC5DE92-00B3-45A4-BD74-46B63EE8528E}"/>
    <hyperlink ref="AB45" r:id="rId42" xr:uid="{A4A84BB1-56C0-46F1-886C-B1CEDF102EC3}"/>
    <hyperlink ref="AB87" r:id="rId43" xr:uid="{05C69DF7-D5D1-4692-87C2-B78660553CA1}"/>
    <hyperlink ref="F10" r:id="rId44" xr:uid="{6E451D9F-3419-4977-BBD3-688DFE742D06}"/>
    <hyperlink ref="F9" r:id="rId45" xr:uid="{D74BD198-5E91-4779-BF6C-1EAF14D561B8}"/>
  </hyperlinks>
  <pageMargins left="0.7" right="0.7" top="0.75" bottom="0.75" header="0.3" footer="0.3"/>
  <tableParts count="1">
    <tablePart r:id="rId46"/>
  </tableParts>
  <extLst>
    <ext xmlns:x14="http://schemas.microsoft.com/office/spreadsheetml/2009/9/main" uri="{CCE6A557-97BC-4b89-ADB6-D9C93CAAB3DF}">
      <x14:dataValidations xmlns:xm="http://schemas.microsoft.com/office/excel/2006/main" count="20">
        <x14:dataValidation type="list" errorStyle="information" allowBlank="1" showInputMessage="1" showErrorMessage="1" errorTitle="New data entry" error="Value currently not in taxonomy options." xr:uid="{3DF6AF77-A1B7-442E-8ABB-5AAD42343630}">
          <x14:formula1>
            <xm:f>'4_Taxonomy Options'!$F$4:$F$16</xm:f>
          </x14:formula1>
          <xm:sqref>T2:T106 AF105:AF1048576 AE107:AE1048576</xm:sqref>
        </x14:dataValidation>
        <x14:dataValidation type="list" allowBlank="1" showInputMessage="1" showErrorMessage="1" xr:uid="{B516F908-15A2-45A9-820C-26127C6D4D44}">
          <x14:formula1>
            <xm:f>'4_Taxonomy Options'!$B$4:$B$24</xm:f>
          </x14:formula1>
          <xm:sqref>O62:O102 O57:O60 O3:O55</xm:sqref>
        </x14:dataValidation>
        <x14:dataValidation type="list" allowBlank="1" showInputMessage="1" showErrorMessage="1" xr:uid="{CB3AA46F-7286-4FF4-B13E-A57F3D4FC3B1}">
          <x14:formula1>
            <xm:f>'4_Taxonomy Options'!$A$4:$A$18</xm:f>
          </x14:formula1>
          <xm:sqref>N58 N65:N102 N3:N55</xm:sqref>
        </x14:dataValidation>
        <x14:dataValidation type="list" allowBlank="1" showInputMessage="1" showErrorMessage="1" xr:uid="{114C35C5-8A91-40FE-8458-D7A64A76FF03}">
          <x14:formula1>
            <xm:f>'4_Taxonomy Options'!#REF!</xm:f>
          </x14:formula1>
          <xm:sqref>U3:U17 U94:U102</xm:sqref>
        </x14:dataValidation>
        <x14:dataValidation type="list" errorStyle="information" allowBlank="1" showInputMessage="1" showErrorMessage="1" errorTitle="New Data Entry" error="Value not in current taxonomy options." xr:uid="{EE64693D-E215-4420-93B5-522CEFE4ACB4}">
          <x14:formula1>
            <xm:f>'4_Taxonomy Options'!$H$4:$H$12</xm:f>
          </x14:formula1>
          <xm:sqref>O61 S2:S106 O56 O103:O1048576 P107:R1048576</xm:sqref>
        </x14:dataValidation>
        <x14:dataValidation type="list" allowBlank="1" showInputMessage="1" showErrorMessage="1" xr:uid="{FBE67C9A-82D2-4B77-B85E-E9DC786B09EA}">
          <x14:formula1>
            <xm:f>'4_Taxonomy Options'!$O$4:$O$10</xm:f>
          </x14:formula1>
          <xm:sqref>AE54 AE47:AF47 AE50:AF52 AE45:AF45 AF54:AF55 AE3:AF3</xm:sqref>
        </x14:dataValidation>
        <x14:dataValidation type="list" allowBlank="1" showInputMessage="1" showErrorMessage="1" xr:uid="{601A930A-E43D-4605-A059-45E1786E0200}">
          <x14:formula1>
            <xm:f>'4_Taxonomy Options'!$O$4:$O$19</xm:f>
          </x14:formula1>
          <xm:sqref>AE55 AE105:AE106 AE53:AF53 AE4:AF31 AE33:AF43 AE59:AF104 AE48:AF49</xm:sqref>
        </x14:dataValidation>
        <x14:dataValidation type="list" errorStyle="information" allowBlank="1" showInputMessage="1" showErrorMessage="1" xr:uid="{0DC68DBD-8EB1-48FB-B052-B244BE035CA8}">
          <x14:formula1>
            <xm:f>'4_Taxonomy Options'!$G$4:$G$28</xm:f>
          </x14:formula1>
          <xm:sqref>V104:V106 V3:V58 V60:V62 V64:V102</xm:sqref>
        </x14:dataValidation>
        <x14:dataValidation type="list" errorStyle="information" allowBlank="1" showInputMessage="1" showErrorMessage="1" xr:uid="{656594CE-437D-43D4-BAB0-2504E026843F}">
          <x14:formula1>
            <xm:f>'4_Taxonomy Options'!$J$4:$J$15</xm:f>
          </x14:formula1>
          <xm:sqref>W37:W54 W103:W106 W16:W19 W3:W14 W22:W35</xm:sqref>
        </x14:dataValidation>
        <x14:dataValidation type="list" allowBlank="1" showInputMessage="1" showErrorMessage="1" xr:uid="{0B98411E-D3ED-4A30-A972-31E7E9D559B0}">
          <x14:formula1>
            <xm:f>'4_Taxonomy Options'!$E$4:$E$9</xm:f>
          </x14:formula1>
          <xm:sqref>R3:R106</xm:sqref>
        </x14:dataValidation>
        <x14:dataValidation type="list" allowBlank="1" showInputMessage="1" showErrorMessage="1" xr:uid="{2A198EBC-1426-46C4-88BF-24572CCED20B}">
          <x14:formula1>
            <xm:f>'4_Taxonomy Options'!$D$4:$D$20</xm:f>
          </x14:formula1>
          <xm:sqref>Q3:Q106</xm:sqref>
        </x14:dataValidation>
        <x14:dataValidation type="list" allowBlank="1" showInputMessage="1" showErrorMessage="1" xr:uid="{0F5DA8C3-003B-49B7-B1E7-EC54999DC345}">
          <x14:formula1>
            <xm:f>'4_Taxonomy Options'!$C$4:$C$11</xm:f>
          </x14:formula1>
          <xm:sqref>P3:P106</xm:sqref>
        </x14:dataValidation>
        <x14:dataValidation type="list" allowBlank="1" showInputMessage="1" showErrorMessage="1" xr:uid="{F6E129A5-81E8-4AC8-809D-87797C5631BD}">
          <x14:formula1>
            <xm:f>'4_Taxonomy Options'!$I$4:$I$16</xm:f>
          </x14:formula1>
          <xm:sqref>U18:U93</xm:sqref>
        </x14:dataValidation>
        <x14:dataValidation type="list" errorStyle="information" allowBlank="1" showInputMessage="1" showErrorMessage="1" xr:uid="{8E177470-4A96-4B4A-9417-52C6DD2D5403}">
          <x14:formula1>
            <xm:f>'4_Taxonomy Options'!$J$4:$J$19</xm:f>
          </x14:formula1>
          <xm:sqref>W20</xm:sqref>
        </x14:dataValidation>
        <x14:dataValidation type="list" errorStyle="information" allowBlank="1" showInputMessage="1" showErrorMessage="1" xr:uid="{4DECEEA3-856A-415D-AC31-B0BC2B76E5C2}">
          <x14:formula1>
            <xm:f>'4_Taxonomy Options'!$L$4:$L$35</xm:f>
          </x14:formula1>
          <xm:sqref>Y3:Y106</xm:sqref>
        </x14:dataValidation>
        <x14:dataValidation type="list" errorStyle="information" allowBlank="1" showInputMessage="1" showErrorMessage="1" xr:uid="{D54FAD3D-6765-4A65-B47D-7E72B861E86D}">
          <x14:formula1>
            <xm:f>'4_Taxonomy Options'!$J$4:$J$20</xm:f>
          </x14:formula1>
          <xm:sqref>W55:W102</xm:sqref>
        </x14:dataValidation>
        <x14:dataValidation type="list" errorStyle="information" allowBlank="1" showInputMessage="1" showErrorMessage="1" xr:uid="{FAB0E538-CED9-4D9D-8C8A-ADBD589881C7}">
          <x14:formula1>
            <xm:f>'4_Taxonomy Options'!$K$4:$K$36</xm:f>
          </x14:formula1>
          <xm:sqref>X3:X106</xm:sqref>
        </x14:dataValidation>
        <x14:dataValidation type="list" errorStyle="information" allowBlank="1" showInputMessage="1" showErrorMessage="1" xr:uid="{837A3B1B-3AC4-418D-89DD-5C30BE45D190}">
          <x14:formula1>
            <xm:f>'4_Taxonomy Options'!$G$4:$G$30</xm:f>
          </x14:formula1>
          <xm:sqref>V63</xm:sqref>
        </x14:dataValidation>
        <x14:dataValidation type="list" errorStyle="information" allowBlank="1" showInputMessage="1" showErrorMessage="1" xr:uid="{F0FCE80B-DDA4-4262-B5C3-62B8C897F1B3}">
          <x14:formula1>
            <xm:f>'4_Taxonomy Options'!$J$4:$J$30</xm:f>
          </x14:formula1>
          <xm:sqref>W36 W21</xm:sqref>
        </x14:dataValidation>
        <x14:dataValidation type="list" errorStyle="information" allowBlank="1" showInputMessage="1" showErrorMessage="1" xr:uid="{6BF7CCDF-5801-46A2-8BD6-1253C17B7B45}">
          <x14:formula1>
            <xm:f>'4_Taxonomy Options'!$J$4:$J$23</xm:f>
          </x14:formula1>
          <xm:sqref>W15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997B1-FB19-4941-96EE-B6A4C4BB05A4}">
  <sheetPr codeName="Sheet9"/>
  <dimension ref="A2:N14"/>
  <sheetViews>
    <sheetView workbookViewId="0">
      <selection activeCell="T21" sqref="T21"/>
    </sheetView>
  </sheetViews>
  <sheetFormatPr baseColWidth="10" defaultColWidth="8.83203125" defaultRowHeight="15" x14ac:dyDescent="0.2"/>
  <cols>
    <col min="1" max="1" width="18.1640625" bestFit="1" customWidth="1"/>
    <col min="2" max="2" width="6.5" bestFit="1" customWidth="1"/>
    <col min="3" max="3" width="5.83203125" customWidth="1"/>
    <col min="4" max="4" width="32" bestFit="1" customWidth="1"/>
    <col min="5" max="5" width="6.5" bestFit="1" customWidth="1"/>
    <col min="6" max="6" width="6" customWidth="1"/>
    <col min="7" max="7" width="33.5" bestFit="1" customWidth="1"/>
    <col min="8" max="8" width="6.5" bestFit="1" customWidth="1"/>
    <col min="9" max="9" width="6.5" customWidth="1"/>
    <col min="10" max="10" width="25" bestFit="1" customWidth="1"/>
    <col min="11" max="11" width="6.5" bestFit="1" customWidth="1"/>
    <col min="12" max="12" width="5.33203125" customWidth="1"/>
    <col min="13" max="13" width="18.6640625" bestFit="1" customWidth="1"/>
    <col min="14" max="14" width="6.5" bestFit="1" customWidth="1"/>
  </cols>
  <sheetData>
    <row r="2" spans="1:14" x14ac:dyDescent="0.2">
      <c r="A2" s="42" t="s">
        <v>71</v>
      </c>
      <c r="B2" s="42" t="s">
        <v>842</v>
      </c>
      <c r="D2" s="42" t="s">
        <v>843</v>
      </c>
      <c r="E2" s="42" t="s">
        <v>842</v>
      </c>
      <c r="F2" s="43"/>
      <c r="G2" s="42" t="s">
        <v>134</v>
      </c>
      <c r="H2" s="42" t="s">
        <v>842</v>
      </c>
      <c r="I2" s="43"/>
      <c r="J2" s="42" t="s">
        <v>106</v>
      </c>
      <c r="K2" s="42" t="s">
        <v>842</v>
      </c>
      <c r="L2" s="43"/>
      <c r="M2" s="42" t="s">
        <v>100</v>
      </c>
      <c r="N2" s="42" t="s">
        <v>842</v>
      </c>
    </row>
    <row r="3" spans="1:14" x14ac:dyDescent="0.2">
      <c r="A3" t="s">
        <v>224</v>
      </c>
      <c r="B3">
        <v>30</v>
      </c>
      <c r="D3" t="s">
        <v>219</v>
      </c>
      <c r="E3">
        <v>4</v>
      </c>
      <c r="G3" t="s">
        <v>672</v>
      </c>
      <c r="H3">
        <v>4</v>
      </c>
      <c r="J3" t="s">
        <v>107</v>
      </c>
      <c r="K3">
        <v>31</v>
      </c>
      <c r="M3" t="s">
        <v>179</v>
      </c>
      <c r="N3">
        <v>42</v>
      </c>
    </row>
    <row r="4" spans="1:14" x14ac:dyDescent="0.2">
      <c r="A4" t="s">
        <v>176</v>
      </c>
      <c r="B4">
        <v>69</v>
      </c>
      <c r="D4" t="s">
        <v>151</v>
      </c>
      <c r="E4">
        <v>26</v>
      </c>
      <c r="G4" t="s">
        <v>254</v>
      </c>
      <c r="H4">
        <v>1</v>
      </c>
      <c r="J4" t="s">
        <v>110</v>
      </c>
      <c r="K4">
        <v>10</v>
      </c>
      <c r="M4" t="s">
        <v>195</v>
      </c>
      <c r="N4">
        <v>3</v>
      </c>
    </row>
    <row r="5" spans="1:14" x14ac:dyDescent="0.2">
      <c r="A5" s="44" t="s">
        <v>844</v>
      </c>
      <c r="B5" s="44">
        <v>99</v>
      </c>
      <c r="D5" t="s">
        <v>171</v>
      </c>
      <c r="E5">
        <v>7</v>
      </c>
      <c r="G5" t="s">
        <v>188</v>
      </c>
      <c r="H5">
        <v>4</v>
      </c>
      <c r="J5" t="s">
        <v>113</v>
      </c>
      <c r="K5">
        <v>55</v>
      </c>
      <c r="M5" t="s">
        <v>146</v>
      </c>
      <c r="N5">
        <v>6</v>
      </c>
    </row>
    <row r="6" spans="1:14" x14ac:dyDescent="0.2">
      <c r="D6" t="s">
        <v>184</v>
      </c>
      <c r="E6">
        <v>29</v>
      </c>
      <c r="G6" t="s">
        <v>144</v>
      </c>
      <c r="H6">
        <v>28</v>
      </c>
      <c r="M6" t="s">
        <v>282</v>
      </c>
      <c r="N6">
        <v>1</v>
      </c>
    </row>
    <row r="7" spans="1:14" x14ac:dyDescent="0.2">
      <c r="D7" t="s">
        <v>487</v>
      </c>
      <c r="E7">
        <v>3</v>
      </c>
      <c r="G7" t="s">
        <v>300</v>
      </c>
      <c r="H7">
        <v>1</v>
      </c>
      <c r="M7" t="s">
        <v>258</v>
      </c>
      <c r="N7">
        <v>1</v>
      </c>
    </row>
    <row r="8" spans="1:14" x14ac:dyDescent="0.2">
      <c r="D8" s="44" t="s">
        <v>844</v>
      </c>
      <c r="E8" s="44">
        <v>69</v>
      </c>
      <c r="G8" t="s">
        <v>314</v>
      </c>
      <c r="H8">
        <v>1</v>
      </c>
      <c r="M8" t="s">
        <v>156</v>
      </c>
      <c r="N8">
        <v>9</v>
      </c>
    </row>
    <row r="9" spans="1:14" x14ac:dyDescent="0.2">
      <c r="G9" t="s">
        <v>324</v>
      </c>
      <c r="H9">
        <v>5</v>
      </c>
      <c r="M9" s="44" t="s">
        <v>157</v>
      </c>
      <c r="N9" s="44">
        <v>7</v>
      </c>
    </row>
    <row r="10" spans="1:14" x14ac:dyDescent="0.2">
      <c r="G10" t="s">
        <v>305</v>
      </c>
      <c r="H10">
        <v>9</v>
      </c>
      <c r="M10" s="44" t="s">
        <v>844</v>
      </c>
      <c r="N10" s="44">
        <v>69</v>
      </c>
    </row>
    <row r="11" spans="1:14" x14ac:dyDescent="0.2">
      <c r="G11" t="s">
        <v>346</v>
      </c>
      <c r="H11">
        <v>1</v>
      </c>
    </row>
    <row r="12" spans="1:14" x14ac:dyDescent="0.2">
      <c r="G12" t="s">
        <v>167</v>
      </c>
      <c r="H12">
        <v>10</v>
      </c>
    </row>
    <row r="13" spans="1:14" x14ac:dyDescent="0.2">
      <c r="G13" t="s">
        <v>216</v>
      </c>
      <c r="H13">
        <v>4</v>
      </c>
    </row>
    <row r="14" spans="1:14" x14ac:dyDescent="0.2">
      <c r="G14" s="44" t="s">
        <v>844</v>
      </c>
      <c r="H14" s="44">
        <v>69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B9131-4D3A-4715-8607-D3B8798C0D05}">
  <sheetPr codeName="Sheet10"/>
  <dimension ref="B1:C8"/>
  <sheetViews>
    <sheetView workbookViewId="0">
      <selection activeCell="B6" sqref="B6"/>
    </sheetView>
  </sheetViews>
  <sheetFormatPr baseColWidth="10" defaultColWidth="8.83203125" defaultRowHeight="15" x14ac:dyDescent="0.2"/>
  <cols>
    <col min="2" max="2" width="26.5" customWidth="1"/>
    <col min="3" max="3" width="75.1640625" style="5" customWidth="1"/>
  </cols>
  <sheetData>
    <row r="1" spans="2:3" x14ac:dyDescent="0.2">
      <c r="B1" s="1" t="s">
        <v>845</v>
      </c>
    </row>
    <row r="2" spans="2:3" ht="48" x14ac:dyDescent="0.2">
      <c r="B2" s="50" t="s">
        <v>846</v>
      </c>
      <c r="C2" s="51" t="s">
        <v>847</v>
      </c>
    </row>
    <row r="3" spans="2:3" ht="32" x14ac:dyDescent="0.2">
      <c r="B3" s="50" t="s">
        <v>848</v>
      </c>
      <c r="C3" s="51" t="s">
        <v>849</v>
      </c>
    </row>
    <row r="4" spans="2:3" ht="144" x14ac:dyDescent="0.2">
      <c r="B4" s="50" t="s">
        <v>850</v>
      </c>
      <c r="C4" s="51" t="s">
        <v>851</v>
      </c>
    </row>
    <row r="5" spans="2:3" ht="64" x14ac:dyDescent="0.2">
      <c r="B5" t="s">
        <v>852</v>
      </c>
      <c r="C5" s="51" t="s">
        <v>853</v>
      </c>
    </row>
    <row r="6" spans="2:3" x14ac:dyDescent="0.2">
      <c r="B6" s="53"/>
      <c r="C6" s="52"/>
    </row>
    <row r="8" spans="2:3" x14ac:dyDescent="0.2">
      <c r="C8" s="5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E71CA-C8D2-4A70-B6A1-036CF5CDD920}">
  <sheetPr codeName="Sheet3"/>
  <dimension ref="A1:E9"/>
  <sheetViews>
    <sheetView workbookViewId="0">
      <selection activeCell="D2" sqref="D2"/>
    </sheetView>
  </sheetViews>
  <sheetFormatPr baseColWidth="10" defaultColWidth="8.83203125" defaultRowHeight="15" x14ac:dyDescent="0.2"/>
  <cols>
    <col min="2" max="2" width="49.1640625" customWidth="1"/>
    <col min="3" max="3" width="21.5" customWidth="1"/>
    <col min="4" max="4" width="23.83203125" customWidth="1"/>
    <col min="5" max="5" width="26" customWidth="1"/>
  </cols>
  <sheetData>
    <row r="1" spans="1:5" x14ac:dyDescent="0.2">
      <c r="A1" s="1" t="s">
        <v>854</v>
      </c>
      <c r="B1" s="1" t="s">
        <v>55</v>
      </c>
      <c r="C1" s="1" t="s">
        <v>58</v>
      </c>
      <c r="D1" s="1" t="s">
        <v>855</v>
      </c>
      <c r="E1" s="1" t="s">
        <v>64</v>
      </c>
    </row>
    <row r="2" spans="1:5" x14ac:dyDescent="0.2">
      <c r="A2">
        <v>1</v>
      </c>
      <c r="B2" t="s">
        <v>856</v>
      </c>
      <c r="D2" t="s">
        <v>857</v>
      </c>
      <c r="E2" t="s">
        <v>858</v>
      </c>
    </row>
    <row r="3" spans="1:5" x14ac:dyDescent="0.2">
      <c r="A3">
        <v>2</v>
      </c>
      <c r="B3" t="s">
        <v>859</v>
      </c>
      <c r="C3" t="s">
        <v>860</v>
      </c>
      <c r="D3" t="s">
        <v>861</v>
      </c>
      <c r="E3" t="s">
        <v>862</v>
      </c>
    </row>
    <row r="4" spans="1:5" x14ac:dyDescent="0.2">
      <c r="A4">
        <v>3</v>
      </c>
      <c r="B4" t="s">
        <v>863</v>
      </c>
      <c r="D4" t="s">
        <v>453</v>
      </c>
      <c r="E4" t="s">
        <v>864</v>
      </c>
    </row>
    <row r="5" spans="1:5" x14ac:dyDescent="0.2">
      <c r="A5">
        <v>4</v>
      </c>
      <c r="B5" t="s">
        <v>865</v>
      </c>
      <c r="C5" t="s">
        <v>866</v>
      </c>
      <c r="D5" t="s">
        <v>867</v>
      </c>
      <c r="E5" t="s">
        <v>868</v>
      </c>
    </row>
    <row r="6" spans="1:5" ht="32" x14ac:dyDescent="0.2">
      <c r="A6">
        <v>5</v>
      </c>
      <c r="B6" s="3" t="s">
        <v>869</v>
      </c>
      <c r="C6" t="s">
        <v>870</v>
      </c>
      <c r="D6" t="s">
        <v>871</v>
      </c>
      <c r="E6" t="s">
        <v>872</v>
      </c>
    </row>
    <row r="7" spans="1:5" ht="32" x14ac:dyDescent="0.2">
      <c r="A7">
        <v>6</v>
      </c>
      <c r="B7" s="3" t="s">
        <v>873</v>
      </c>
      <c r="C7" t="s">
        <v>870</v>
      </c>
      <c r="D7" t="s">
        <v>871</v>
      </c>
      <c r="E7" t="s">
        <v>872</v>
      </c>
    </row>
    <row r="8" spans="1:5" x14ac:dyDescent="0.2">
      <c r="A8">
        <v>7</v>
      </c>
      <c r="B8" t="s">
        <v>874</v>
      </c>
      <c r="D8" t="s">
        <v>875</v>
      </c>
      <c r="E8" t="s">
        <v>876</v>
      </c>
    </row>
    <row r="9" spans="1:5" x14ac:dyDescent="0.2">
      <c r="A9">
        <v>8</v>
      </c>
      <c r="B9" t="s">
        <v>877</v>
      </c>
      <c r="D9" t="s">
        <v>878</v>
      </c>
      <c r="E9" t="s">
        <v>879</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6ABDA-2273-4EA5-8D91-4FB0AD7CB531}">
  <dimension ref="A1"/>
  <sheetViews>
    <sheetView workbookViewId="0">
      <selection activeCell="H14" sqref="H14"/>
    </sheetView>
  </sheetViews>
  <sheetFormatPr baseColWidth="10" defaultColWidth="8.83203125" defaultRowHeight="1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765AE90BACD714AA7C529893A9FEA93" ma:contentTypeVersion="14" ma:contentTypeDescription="Create a new document." ma:contentTypeScope="" ma:versionID="3f19a4e66c6f942ccd0588f7ec2cb8ab">
  <xsd:schema xmlns:xsd="http://www.w3.org/2001/XMLSchema" xmlns:xs="http://www.w3.org/2001/XMLSchema" xmlns:p="http://schemas.microsoft.com/office/2006/metadata/properties" xmlns:ns2="ab1b8a37-1289-44e7-aa48-aaae4af07913" xmlns:ns3="b0c08d2c-d984-441e-a587-76fb4ec162f1" targetNamespace="http://schemas.microsoft.com/office/2006/metadata/properties" ma:root="true" ma:fieldsID="aa8fc4f9487c06680ebfebf1029f976c" ns2:_="" ns3:_="">
    <xsd:import namespace="ab1b8a37-1289-44e7-aa48-aaae4af07913"/>
    <xsd:import namespace="b0c08d2c-d984-441e-a587-76fb4ec162f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_Flow_SignoffStatu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1b8a37-1289-44e7-aa48-aaae4af079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b3a19cb6-1b10-4512-a12b-f76e45842a2d"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_Flow_SignoffStatus" ma:index="19" nillable="true" ma:displayName="Sign-off status" ma:internalName="_x0024_Resources_x003a_core_x002c_Signoff_Status">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0c08d2c-d984-441e-a587-76fb4ec162f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2d21794f-8d6d-4371-a75d-cd24d3165928}" ma:internalName="TaxCatchAll" ma:showField="CatchAllData" ma:web="b0c08d2c-d984-441e-a587-76fb4ec162f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Flow_SignoffStatus xmlns="ab1b8a37-1289-44e7-aa48-aaae4af07913" xsi:nil="true"/>
    <lcf76f155ced4ddcb4097134ff3c332f xmlns="ab1b8a37-1289-44e7-aa48-aaae4af07913">
      <Terms xmlns="http://schemas.microsoft.com/office/infopath/2007/PartnerControls"/>
    </lcf76f155ced4ddcb4097134ff3c332f>
    <TaxCatchAll xmlns="b0c08d2c-d984-441e-a587-76fb4ec162f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C559FB8-D971-4CC3-B498-A6B1A60377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1b8a37-1289-44e7-aa48-aaae4af07913"/>
    <ds:schemaRef ds:uri="b0c08d2c-d984-441e-a587-76fb4ec162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EB39CC7-1B9F-4531-90AA-E598E999F3C9}">
  <ds:schemaRefs>
    <ds:schemaRef ds:uri="http://purl.org/dc/dcmitype/"/>
    <ds:schemaRef ds:uri="http://purl.org/dc/terms/"/>
    <ds:schemaRef ds:uri="http://schemas.microsoft.com/office/2006/metadata/properties"/>
    <ds:schemaRef ds:uri="http://schemas.microsoft.com/office/2006/documentManagement/types"/>
    <ds:schemaRef ds:uri="b0c08d2c-d984-441e-a587-76fb4ec162f1"/>
    <ds:schemaRef ds:uri="http://www.w3.org/XML/1998/namespace"/>
    <ds:schemaRef ds:uri="http://purl.org/dc/elements/1.1/"/>
    <ds:schemaRef ds:uri="http://schemas.microsoft.com/office/infopath/2007/PartnerControls"/>
    <ds:schemaRef ds:uri="http://schemas.openxmlformats.org/package/2006/metadata/core-properties"/>
    <ds:schemaRef ds:uri="ab1b8a37-1289-44e7-aa48-aaae4af07913"/>
  </ds:schemaRefs>
</ds:datastoreItem>
</file>

<file path=customXml/itemProps3.xml><?xml version="1.0" encoding="utf-8"?>
<ds:datastoreItem xmlns:ds="http://schemas.openxmlformats.org/officeDocument/2006/customXml" ds:itemID="{8AE727D6-25AE-4143-9EAA-B00BEF00F3F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0_Overview</vt:lpstr>
      <vt:lpstr>1_Inclusion &amp; Exclusion</vt:lpstr>
      <vt:lpstr>2_Taxonomy Structure</vt:lpstr>
      <vt:lpstr>3a_Resources_examples</vt:lpstr>
      <vt:lpstr>3b_Summaries_copilot</vt:lpstr>
      <vt:lpstr>4_Taxonomy Options</vt:lpstr>
      <vt:lpstr>5_Resources_full_data</vt:lpstr>
      <vt:lpstr>6_Statistics</vt:lpstr>
      <vt:lpstr>7_Document_Maintainence</vt:lpstr>
      <vt:lpstr>8_References</vt:lpstr>
      <vt:lpstr>Sheet1</vt:lpstr>
      <vt:lpstr>IC_List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Anna-Grace Linton</dc:creator>
  <cp:keywords/>
  <dc:description/>
  <cp:lastModifiedBy>Taleen Abu-baker [sc23taaa]</cp:lastModifiedBy>
  <cp:revision/>
  <dcterms:created xsi:type="dcterms:W3CDTF">2025-04-07T11:51:12Z</dcterms:created>
  <dcterms:modified xsi:type="dcterms:W3CDTF">2026-02-08T13:23:12Z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0x010100E765AE90BACD714AA7C529893A9FEA93</vt:lpwstr>
  </property>
  <property fmtid="{D5CDD505-2E9C-101B-9397-08002B2CF9AE}" pid="3" name="MediaServiceImageTags">
    <vt:lpwstr/>
  </property>
  <property fmtid="{D5CDD505-2E9C-101B-9397-08002B2CF9AE}" pid="4" name="ComplianceAssetId">
    <vt:lpwstr/>
  </property>
  <property fmtid="{D5CDD505-2E9C-101B-9397-08002B2CF9AE}" pid="5" name="_ExtendedDescription">
    <vt:lpwstr/>
  </property>
  <property fmtid="{D5CDD505-2E9C-101B-9397-08002B2CF9AE}" pid="6" name="TriggerFlowInfo">
    <vt:lpwstr/>
  </property>
</Properties>
</file>